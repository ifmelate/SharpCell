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INFORMATION/"/>
    </mc:Choice>
  </mc:AlternateContent>
  <xr:revisionPtr revIDLastSave="0" documentId="8_{0CC5FFA7-A99B-B045-B1D4-993BDCEF61CD}" xr6:coauthVersionLast="47" xr6:coauthVersionMax="47" xr10:uidLastSave="{00000000-0000-0000-0000-000000000000}"/>
  <bookViews>
    <workbookView xWindow="-820" yWindow="-19480" windowWidth="28040" windowHeight="15760" xr2:uid="{6E182E0D-5F18-D347-B717-9FC04F98E92E}"/>
  </bookViews>
  <sheets>
    <sheet name="Sheet1" sheetId="1" r:id="rId1"/>
  </sheets>
  <definedNames>
    <definedName name="Cells">Sheet1!$K$1:$K$2</definedName>
    <definedName name="Seven">7</definedName>
    <definedName name="TextCell">Sheet1!$K$1</definedName>
    <definedName name="Twice">_xlfn.LAMBDA(_xlpm.x, 2*_xlpm.x)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 a="1"/>
  <c r="D14" i="1" s="1"/>
  <c r="J17" i="1" a="1"/>
  <c r="J17" i="1" s="1"/>
  <c r="D9" i="1" a="1"/>
  <c r="D9" i="1" s="1"/>
  <c r="D20" i="1" a="1"/>
  <c r="D20" i="1" s="1"/>
  <c r="D18" i="1" a="1"/>
  <c r="D18" i="1"/>
  <c r="D17" i="1" a="1"/>
  <c r="D17" i="1" s="1"/>
  <c r="D11" i="1" a="1"/>
  <c r="D11" i="1" s="1"/>
  <c r="D7" i="1" a="1"/>
  <c r="D7" i="1" s="1"/>
  <c r="D6" i="1" a="1"/>
  <c r="D6" i="1"/>
  <c r="D5" i="1"/>
  <c r="D4" i="1" a="1"/>
  <c r="D4" i="1" s="1"/>
  <c r="D3" i="1" a="1"/>
  <c r="D3" i="1" s="1"/>
  <c r="D2" i="1"/>
  <c r="D1" i="1" a="1"/>
  <c r="D1" i="1" s="1"/>
  <c r="A26" i="1"/>
  <c r="A25" i="1"/>
  <c r="A24" i="1"/>
  <c r="A23" i="1"/>
  <c r="A22" i="1" a="1"/>
  <c r="A22" i="1" s="1"/>
  <c r="A21" i="1" a="1"/>
  <c r="A21" i="1" s="1"/>
  <c r="A20" i="1" a="1"/>
  <c r="A20" i="1" s="1"/>
  <c r="A19" i="1" a="1"/>
  <c r="A19" i="1" s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  <c r="A3" i="1"/>
  <c r="A2" i="1"/>
  <c r="A1" i="1"/>
  <c r="A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<sst xmlns="http://schemas.openxmlformats.org/spreadsheetml/2006/main" count="43" uniqueCount="43">
  <si>
    <t>text</t>
  </si>
  <si>
    <t>cell</t>
  </si>
  <si>
    <t>range</t>
  </si>
  <si>
    <t>whole column</t>
  </si>
  <si>
    <t>offset</t>
  </si>
  <si>
    <t>indirect</t>
  </si>
  <si>
    <t>index</t>
  </si>
  <si>
    <t>number</t>
  </si>
  <si>
    <t>text that looks like a reference</t>
  </si>
  <si>
    <t>boolean</t>
  </si>
  <si>
    <t>arithmetic on a cell</t>
  </si>
  <si>
    <t>array constant</t>
  </si>
  <si>
    <t>error</t>
  </si>
  <si>
    <t>sum of a range</t>
  </si>
  <si>
    <t>name for a cell</t>
  </si>
  <si>
    <t>name for a range</t>
  </si>
  <si>
    <t>name for a lambda</t>
  </si>
  <si>
    <t>name for a constant</t>
  </si>
  <si>
    <t>unknown name</t>
  </si>
  <si>
    <t>lambda parameter, cell</t>
  </si>
  <si>
    <t>lambda parameter, range</t>
  </si>
  <si>
    <t>lambda parameter, number</t>
  </si>
  <si>
    <t>lambda parameter, expression</t>
  </si>
  <si>
    <t>let variable, cell</t>
  </si>
  <si>
    <t>let variable, range</t>
  </si>
  <si>
    <t>let variable, text</t>
  </si>
  <si>
    <t>let variable, name</t>
  </si>
  <si>
    <t>empty text fallback</t>
  </si>
  <si>
    <t>max of empty text fallback</t>
  </si>
  <si>
    <t>number fallback</t>
  </si>
  <si>
    <t>number fallback plus one</t>
  </si>
  <si>
    <t>zero fallback</t>
  </si>
  <si>
    <t>error fallback</t>
  </si>
  <si>
    <t>no fallback</t>
  </si>
  <si>
    <t>array fallback</t>
  </si>
  <si>
    <t>range fallback</t>
  </si>
  <si>
    <t>sum of range fallback</t>
  </si>
  <si>
    <t>offset over range fallback</t>
  </si>
  <si>
    <t>row of range fallback</t>
  </si>
  <si>
    <t>isref of range fallback</t>
  </si>
  <si>
    <t>single cell fallback plus one</t>
  </si>
  <si>
    <t>offset over a successful filter</t>
  </si>
  <si>
    <t>isref of a successful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</si>
</sst>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2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8E75C7-4F18-8841-AC99-7D13CB6700B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3de9464-579c-42b8-88c7-18bce35b2d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C3D2-539B-D44C-8035-6345720A6E05}">
  <dimension ref="A1:M26"/>
  <sheetViews>
    <sheetView tabSelected="1" workbookViewId="0"/>
  </sheetViews>
  <sheetFormatPr baseColWidth="10" defaultRowHeight="16" x14ac:dyDescent="0.2"/>
  <sheetData>
    <row r="1" spans="1:13" x14ac:dyDescent="0.2">
      <c r="A1" t="b">
        <f>ISREF(K1)</f>
        <v>1</v>
      </c>
      <c r="B1" s="1" t="s">
        <v>1</v>
      </c>
      <c r="D1" cm="1">
        <f t="array" ref="D1">_xlfn._xlws.FILTER(L1:L2, M1:M2, "")</f>
        <v>10</v>
      </c>
      <c r="E1" s="1" t="s">
        <v>27</v>
      </c>
      <c r="K1" t="s">
        <v>0</v>
      </c>
      <c r="L1">
        <v>10</v>
      </c>
      <c r="M1" t="b">
        <v>1</v>
      </c>
    </row>
    <row r="2" spans="1:13" x14ac:dyDescent="0.2">
      <c r="A2" t="b">
        <f>ISREF(K1:K2)</f>
        <v>1</v>
      </c>
      <c r="B2" s="1" t="s">
        <v>2</v>
      </c>
      <c r="D2">
        <f>MAX(_xlfn._xlws.FILTER(L1:L2, M1:M2, ""))</f>
        <v>10</v>
      </c>
      <c r="E2" s="1" t="s">
        <v>28</v>
      </c>
      <c r="K2">
        <v>7</v>
      </c>
      <c r="L2">
        <v>20</v>
      </c>
      <c r="M2" t="b">
        <v>0</v>
      </c>
    </row>
    <row r="3" spans="1:13" x14ac:dyDescent="0.2">
      <c r="A3" t="b">
        <f>ISREF(K:K)</f>
        <v>1</v>
      </c>
      <c r="B3" s="1" t="s">
        <v>3</v>
      </c>
      <c r="D3" cm="1">
        <f t="array" ref="D3">_xlfn._xlws.FILTER(L1:L2, M1:M2, 7)</f>
        <v>10</v>
      </c>
      <c r="E3" s="1" t="s">
        <v>29</v>
      </c>
    </row>
    <row r="4" spans="1:13" x14ac:dyDescent="0.2">
      <c r="A4" t="b">
        <f ca="1">ISREF(OFFSET(K1, 1, 0))</f>
        <v>1</v>
      </c>
      <c r="B4" s="1" t="s">
        <v>4</v>
      </c>
      <c r="D4" cm="1">
        <f t="array" ref="D4">_xlfn._xlws.FILTER(L1:L2, M1:M2, 7)+1</f>
        <v>11</v>
      </c>
      <c r="E4" s="1" t="s">
        <v>30</v>
      </c>
    </row>
    <row r="5" spans="1:13" x14ac:dyDescent="0.2">
      <c r="A5" t="b">
        <f ca="1">ISREF(INDIRECT("K1"))</f>
        <v>1</v>
      </c>
      <c r="B5" s="1" t="s">
        <v>5</v>
      </c>
      <c r="D5">
        <f>MAX(_xlfn._xlws.FILTER(L1:L2, M1:M2, 0))</f>
        <v>10</v>
      </c>
      <c r="E5" s="1" t="s">
        <v>31</v>
      </c>
    </row>
    <row r="6" spans="1:13" x14ac:dyDescent="0.2">
      <c r="A6" t="b">
        <f>ISREF(INDEX(K1:K2, 1))</f>
        <v>1</v>
      </c>
      <c r="B6" s="1" t="s">
        <v>6</v>
      </c>
      <c r="D6" cm="1">
        <f t="array" ref="D6">_xlfn._xlws.FILTER(L1:L2, M1:M2, 1/0)</f>
        <v>10</v>
      </c>
      <c r="E6" s="1" t="s">
        <v>32</v>
      </c>
    </row>
    <row r="7" spans="1:13" x14ac:dyDescent="0.2">
      <c r="A7" t="b">
        <f>ISREF(5)</f>
        <v>0</v>
      </c>
      <c r="B7" s="1" t="s">
        <v>7</v>
      </c>
      <c r="D7" cm="1">
        <f t="array" ref="D7">_xlfn._xlws.FILTER(L1:L2, M1:M2)</f>
        <v>10</v>
      </c>
      <c r="E7" s="1" t="s">
        <v>33</v>
      </c>
    </row>
    <row r="8" spans="1:13" x14ac:dyDescent="0.2">
      <c r="A8" t="b">
        <f>ISREF("K1")</f>
        <v>0</v>
      </c>
      <c r="B8" s="1" t="s">
        <v>8</v>
      </c>
    </row>
    <row r="9" spans="1:13" x14ac:dyDescent="0.2">
      <c r="A9" t="b">
        <f>ISREF(TRUE)</f>
        <v>0</v>
      </c>
      <c r="B9" s="1" t="s">
        <v>9</v>
      </c>
      <c r="D9" cm="1">
        <f t="array" aca="1" ref="D9" ca="1">_xlfn._xlws.FILTER(L1:L2, M1:M2, {1,2,3})</f>
        <v>10</v>
      </c>
      <c r="E9" s="1" t="s">
        <v>34</v>
      </c>
    </row>
    <row r="10" spans="1:13" x14ac:dyDescent="0.2">
      <c r="A10" t="b">
        <f>ISREF(K1+1)</f>
        <v>0</v>
      </c>
      <c r="B10" s="1" t="s">
        <v>10</v>
      </c>
    </row>
    <row r="11" spans="1:13" x14ac:dyDescent="0.2">
      <c r="A11" t="b">
        <f>ISREF({1,2})</f>
        <v>0</v>
      </c>
      <c r="B11" s="1" t="s">
        <v>11</v>
      </c>
      <c r="D11" cm="1">
        <f t="array" ref="D11">_xlfn._xlws.FILTER(L1:L2, M1:M2, L1:L2)</f>
        <v>10</v>
      </c>
      <c r="E11" s="1" t="s">
        <v>35</v>
      </c>
    </row>
    <row r="12" spans="1:13" x14ac:dyDescent="0.2">
      <c r="A12" t="b">
        <f>ISREF(NA())</f>
        <v>0</v>
      </c>
      <c r="B12" s="1" t="s">
        <v>12</v>
      </c>
    </row>
    <row r="13" spans="1:13" x14ac:dyDescent="0.2">
      <c r="A13" t="b">
        <f>ISREF(SUM(K1:K2))</f>
        <v>0</v>
      </c>
      <c r="B13" s="1" t="s">
        <v>13</v>
      </c>
    </row>
    <row r="14" spans="1:13" x14ac:dyDescent="0.2">
      <c r="A14" t="b">
        <f>ISREF(TextCell)</f>
        <v>1</v>
      </c>
      <c r="B14" s="1" t="s">
        <v>14</v>
      </c>
      <c r="D14" cm="1">
        <f t="array" ref="D14">SUM(_xlfn._xlws.FILTER(L1:L2, M1:M2, L1:L2))</f>
        <v>10</v>
      </c>
      <c r="E14" s="1" t="s">
        <v>36</v>
      </c>
    </row>
    <row r="15" spans="1:13" x14ac:dyDescent="0.2">
      <c r="A15" t="b">
        <f>ISREF(Cells)</f>
        <v>1</v>
      </c>
      <c r="B15" s="1" t="s">
        <v>15</v>
      </c>
      <c r="E15" s="1" t="s">
        <v>37</v>
      </c>
    </row>
    <row r="16" spans="1:13" x14ac:dyDescent="0.2">
      <c r="A16" t="b">
        <f>ISREF(Twice)</f>
        <v>0</v>
      </c>
      <c r="B16" s="1" t="s">
        <v>16</v>
      </c>
      <c r="E16" s="1" t="s">
        <v>38</v>
      </c>
    </row>
    <row r="17" spans="1:12" x14ac:dyDescent="0.2">
      <c r="A17" t="b">
        <f>ISREF(Seven)</f>
        <v>0</v>
      </c>
      <c r="B17" s="1" t="s">
        <v>17</v>
      </c>
      <c r="D17" t="b" cm="1">
        <f t="array" ref="D17">ISREF(_xlfn._xlws.FILTER(L1:L2, M1:M2, L1:L2))</f>
        <v>0</v>
      </c>
      <c r="E17" s="1" t="s">
        <v>39</v>
      </c>
      <c r="J17" cm="1">
        <f t="array" ref="J17">_xlfn._xlws.FILTER(L1:L2, M1:M2, {1,2,3})</f>
        <v>10</v>
      </c>
    </row>
    <row r="18" spans="1:12" x14ac:dyDescent="0.2">
      <c r="A18" t="b">
        <f>ISREF(NoSuchName)</f>
        <v>0</v>
      </c>
      <c r="B18" s="1" t="s">
        <v>18</v>
      </c>
      <c r="D18" cm="1">
        <f t="array" ref="D18">_xlfn._xlws.FILTER(L1:L2, M1:M2, L1)+1</f>
        <v>11</v>
      </c>
      <c r="E18" s="1" t="s">
        <v>40</v>
      </c>
    </row>
    <row r="19" spans="1:12" x14ac:dyDescent="0.2">
      <c r="A19" t="b" cm="1">
        <f t="array" ref="A19">_xlfn.LAMBDA(_xlpm.x, ISREF(_xlpm.x))(K1)</f>
        <v>1</v>
      </c>
      <c r="B19" s="1" t="s">
        <v>19</v>
      </c>
      <c r="E19" s="1" t="s">
        <v>41</v>
      </c>
    </row>
    <row r="20" spans="1:12" x14ac:dyDescent="0.2">
      <c r="A20" t="b" cm="1">
        <f t="array" ref="A20">_xlfn.LAMBDA(_xlpm.x, ISREF(_xlpm.x))(K1:K2)</f>
        <v>1</v>
      </c>
      <c r="B20" s="1" t="s">
        <v>20</v>
      </c>
      <c r="D20" t="b" cm="1">
        <f t="array" ref="D20">ISREF(_xlfn._xlws.FILTER(L1:L2, L1:L2&gt;0))</f>
        <v>0</v>
      </c>
      <c r="E20" s="1" t="s">
        <v>42</v>
      </c>
    </row>
    <row r="21" spans="1:12" x14ac:dyDescent="0.2">
      <c r="A21" t="b" cm="1">
        <f t="array" ref="A21">_xlfn.LAMBDA(_xlpm.x, ISREF(_xlpm.x))(5)</f>
        <v>0</v>
      </c>
      <c r="B21" s="1" t="s">
        <v>21</v>
      </c>
    </row>
    <row r="22" spans="1:12" x14ac:dyDescent="0.2">
      <c r="A22" t="b" cm="1">
        <f t="array" ref="A22">_xlfn.LAMBDA(_xlpm.x, ISREF(_xlpm.x))(K1+1)</f>
        <v>0</v>
      </c>
      <c r="B22" s="1" t="s">
        <v>22</v>
      </c>
    </row>
    <row r="23" spans="1:12" x14ac:dyDescent="0.2">
      <c r="A23" t="b">
        <f>_xlfn.LET(_xlpm.x, K1, ISREF(_xlpm.x))</f>
        <v>1</v>
      </c>
      <c r="B23" s="1" t="s">
        <v>23</v>
      </c>
    </row>
    <row r="24" spans="1:12" x14ac:dyDescent="0.2">
      <c r="A24" t="b">
        <f>_xlfn.LET(_xlpm.x, K1:K2, ISREF(_xlpm.x))</f>
        <v>1</v>
      </c>
      <c r="B24" s="1" t="s">
        <v>24</v>
      </c>
    </row>
    <row r="25" spans="1:12" x14ac:dyDescent="0.2">
      <c r="A25" t="b">
        <f>_xlfn.LET(_xlpm.x, "K1", ISREF(_xlpm.x))</f>
        <v>0</v>
      </c>
      <c r="B25" s="1" t="s">
        <v>25</v>
      </c>
    </row>
    <row r="26" spans="1:12" x14ac:dyDescent="0.2">
      <c r="A26" t="b">
        <f>_xlfn.LET(_xlpm.x, TextCell, ISREF(_xlpm.x))</f>
        <v>1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Cells</vt:lpstr>
      <vt:lpstr>TextCell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2026-10-04T04:22:02Z</dcterms:created>
  <dcterms:modified xsi:type="dcterms:W3CDTF">2026-10-04T04:30:12Z</dcterms:modified>
</cp:coreProperties>
</file>