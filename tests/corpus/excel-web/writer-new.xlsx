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 showInkAnnotation="0" autoCompressPictures="0" defaultThemeVersion="166925"/>
  <xr:revisionPtr revIDLastSave="0" documentId="8_{CC31E5D6-B4D9-429D-9DF6-9AC18164F41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ta" sheetId="1" r:id="rId1"/>
    <sheet name="Report" sheetId="2" r:id="rId2"/>
  </sheets>
  <definedNames>
    <definedName name="TaxRate">0.2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2" l="1" a="1"/>
  <c r="B14" i="2"/>
  <c r="B12" i="2"/>
  <c r="B11" i="2"/>
  <c r="B10" i="2" a="1"/>
  <c r="B10" i="2"/>
  <c r="B9" i="2"/>
  <c r="B8" i="2"/>
  <c r="B7" i="2"/>
  <c r="B5" i="2" a="1"/>
  <c r="B5" i="2"/>
  <c r="B3" i="2"/>
  <c r="G1" i="2" a="1"/>
  <c r="G1" i="2"/>
  <c r="F1" i="2" a="1"/>
  <c r="F1" i="2"/>
  <c r="D6" i="1"/>
  <c r="D5" i="1"/>
  <c r="D4" i="1"/>
  <c r="B2" i="2" s="1" a="1"/>
  <c r="B2" i="2" s="1"/>
  <c r="D3" i="1"/>
  <c r="D2" i="1"/>
  <c r="B4" i="2" l="1" a="1"/>
  <c r="B4" i="2" s="1"/>
  <c r="B1" i="2"/>
  <c r="B13" i="2" a="1"/>
  <c r="B13" i="2" s="1"/>
  <c r="B16" i="2" l="1"/>
  <c r="B15" i="2"/>
  <c r="B6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<sst xmlns="http://schemas.openxmlformats.org/spreadsheetml/2006/main" count="26" uniqueCount="26">
  <si>
    <t>Item</t>
  </si>
  <si>
    <t>Units</t>
  </si>
  <si>
    <t>Price</t>
  </si>
  <si>
    <t>Total</t>
  </si>
  <si>
    <t>Pen</t>
  </si>
  <si>
    <t>Book</t>
  </si>
  <si>
    <t>Lamp</t>
  </si>
  <si>
    <t>Desk</t>
  </si>
  <si>
    <t>Chair</t>
  </si>
  <si>
    <t>SUM(Orders[Total])</t>
  </si>
  <si>
    <t>Merged</t>
  </si>
  <si>
    <t>XLOOKUP("Lamp",Orders[Item],Orders[Total])</t>
  </si>
  <si>
    <t>TEXTJOIN(", ",TRUE,SORT(Orders[Item]))</t>
  </si>
  <si>
    <t>LET(t,SUM(Orders[Total]),n,COUNTA(Orders[Item]),t/n)</t>
  </si>
  <si>
    <t>LAMBDA(x,y,x*y+1)(3,4)</t>
  </si>
  <si>
    <t>IFS(B1&gt;500,"big",TRUE,"small")</t>
  </si>
  <si>
    <t>ROWS(FILTER(Orders[Item],Orders[Units]&gt;2))</t>
  </si>
  <si>
    <t>CONCAT("n=",COUNT(Orders[Units]))</t>
  </si>
  <si>
    <t>MAXIFS(Orders[Price],Orders[Units],"&gt;1")</t>
  </si>
  <si>
    <t>SUM(Data!B2:B6*Data!C2:C6)</t>
  </si>
  <si>
    <t>STDEV.S(Orders[Price])</t>
  </si>
  <si>
    <t>SWITCH(2,1,"one",2,"two")</t>
  </si>
  <si>
    <t>SUM(F1#)</t>
  </si>
  <si>
    <t>@Data!B2:B6</t>
  </si>
  <si>
    <t>TaxRate*B1</t>
  </si>
  <si>
    <t>TEXT(B1,"#,##0.00")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</si>
</sst>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  <family val="2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4" fontId="0" fillId="0" borderId="0" xfId="0" applyNumberForma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rders" displayName="Orders" ref="A1:D6" totalsRowShown="0">
  <autoFilter ref="A1:D6" xr:uid="{00000000-0009-0000-0100-000001000000}"/>
  <tableColumns count="4">
    <tableColumn id="1" xr3:uid="{00000000-0010-0000-0000-000001000000}" name="Item"/>
    <tableColumn id="2" xr3:uid="{00000000-0010-0000-0000-000002000000}" name="Units"/>
    <tableColumn id="3" xr3:uid="{00000000-0010-0000-0000-000003000000}" name="Price"/>
    <tableColumn id="4" xr3:uid="{00000000-0010-0000-0000-000004000000}" name="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10</v>
      </c>
      <c r="C2" s="2">
        <v>1.5</v>
      </c>
      <c r="D2">
        <f>Orders[[#This Row],[Units]]*Orders[[#This Row],[Price]]</f>
        <v>15</v>
      </c>
    </row>
    <row r="3" spans="1:4">
      <c r="A3" t="s">
        <v>5</v>
      </c>
      <c r="B3">
        <v>2</v>
      </c>
      <c r="C3" s="2">
        <v>12.25</v>
      </c>
      <c r="D3">
        <f>Orders[[#This Row],[Units]]*Orders[[#This Row],[Price]]</f>
        <v>24.5</v>
      </c>
    </row>
    <row r="4" spans="1:4">
      <c r="A4" t="s">
        <v>6</v>
      </c>
      <c r="B4">
        <v>4</v>
      </c>
      <c r="C4" s="2">
        <v>30</v>
      </c>
      <c r="D4">
        <f>Orders[[#This Row],[Units]]*Orders[[#This Row],[Price]]</f>
        <v>120</v>
      </c>
    </row>
    <row r="5" spans="1:4">
      <c r="A5" t="s">
        <v>7</v>
      </c>
      <c r="B5">
        <v>1</v>
      </c>
      <c r="C5" s="2">
        <v>199.99</v>
      </c>
      <c r="D5">
        <f>Orders[[#This Row],[Units]]*Orders[[#This Row],[Price]]</f>
        <v>199.99</v>
      </c>
    </row>
    <row r="6" spans="1:4">
      <c r="A6" t="s">
        <v>8</v>
      </c>
      <c r="B6">
        <v>6</v>
      </c>
      <c r="C6" s="2">
        <v>85</v>
      </c>
      <c r="D6">
        <f>Orders[[#This Row],[Units]]*Orders[[#This Row],[Price]]</f>
        <v>510</v>
      </c>
    </row>
  </sheetData>
  <pageMargins left="0" right="0" top="0" bottom="0" header="0" footer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zoomScaleNormal="100" zoomScaleSheetLayoutView="100" workbookViewId="0"/>
  </sheetViews>
  <sheetFormatPr defaultRowHeight="15"/>
  <cols>
    <col min="1" max="1" width="45" customWidth="1"/>
  </cols>
  <sheetData>
    <row r="1" spans="1:7">
      <c r="A1" t="s">
        <v>9</v>
      </c>
      <c r="B1">
        <f>SUM(Orders[Total])</f>
        <v>869.49</v>
      </c>
      <c r="D1" s="3" t="s">
        <v>10</v>
      </c>
      <c r="E1" s="3"/>
      <c r="F1" cm="1">
        <f t="array" ref="F1:F4">_xlfn.SEQUENCE(4,1,10,10)</f>
        <v>10</v>
      </c>
      <c r="G1" t="b" cm="1">
        <f t="array" ref="G1:G2">_xlfn.UNIQUE(Data!B2:B6&gt;2)</f>
        <v>1</v>
      </c>
    </row>
    <row r="2" spans="1:7">
      <c r="A2" t="s">
        <v>11</v>
      </c>
      <c r="B2" cm="1">
        <f t="array" ref="B2">_xlfn.XLOOKUP("Lamp",Orders[Item],Orders[Total])</f>
        <v>120</v>
      </c>
      <c r="D2" s="3"/>
      <c r="E2" s="3"/>
      <c r="F2">
        <v>20</v>
      </c>
      <c r="G2" t="b">
        <v>0</v>
      </c>
    </row>
    <row r="3" spans="1:7">
      <c r="A3" t="s">
        <v>12</v>
      </c>
      <c r="B3" t="str">
        <f>_xlfn.TEXTJOIN(", ",TRUE,_xlfn._xlws.SORT(Orders[Item]))</f>
        <v>Book, Chair, Desk, Lamp, Pen</v>
      </c>
      <c r="F3">
        <v>30</v>
      </c>
    </row>
    <row r="4" spans="1:7">
      <c r="A4" t="s">
        <v>13</v>
      </c>
      <c r="B4" cm="1">
        <f t="array" ref="B4">_xlfn.LET(_xlpm.t,SUM(Orders[Total]),_xlpm.n,COUNTA(Orders[Item]),_xlpm.t/_xlpm.n)</f>
        <v>173.898</v>
      </c>
      <c r="F4">
        <v>40</v>
      </c>
    </row>
    <row r="5" spans="1:7">
      <c r="A5" t="s">
        <v>14</v>
      </c>
      <c r="B5" cm="1">
        <f t="array" ref="B5">_xlfn.LAMBDA(_xlpm.x,_xlpm.y,_xlpm.x*_xlpm.y+1)(3,4)</f>
        <v>13</v>
      </c>
    </row>
    <row r="6" spans="1:7">
      <c r="A6" t="s">
        <v>15</v>
      </c>
      <c r="B6" t="str">
        <f>_xlfn.IFS(B1&gt;500,"big",TRUE,"small")</f>
        <v>big</v>
      </c>
    </row>
    <row r="7" spans="1:7">
      <c r="A7" t="s">
        <v>16</v>
      </c>
      <c r="B7">
        <f>ROWS(_xlfn._xlws.FILTER(Orders[Item],Orders[Units]&gt;2))</f>
        <v>3</v>
      </c>
    </row>
    <row r="8" spans="1:7">
      <c r="A8" t="s">
        <v>17</v>
      </c>
      <c r="B8" t="str">
        <f>_xlfn.CONCAT("n=",COUNT(Orders[Units]))</f>
        <v>n=5</v>
      </c>
    </row>
    <row r="9" spans="1:7">
      <c r="A9" t="s">
        <v>18</v>
      </c>
      <c r="B9">
        <f>_xlfn.MAXIFS(Orders[Price],Orders[Units],"&gt;1")</f>
        <v>85</v>
      </c>
    </row>
    <row r="10" spans="1:7">
      <c r="A10" t="s">
        <v>19</v>
      </c>
      <c r="B10" cm="1">
        <f t="array" ref="B10">SUM(Data!B2:B6*Data!C2:C6)</f>
        <v>869.49</v>
      </c>
    </row>
    <row r="11" spans="1:7">
      <c r="A11" t="s">
        <v>20</v>
      </c>
      <c r="B11">
        <f>_xlfn.STDEV.S(Orders[Price])</f>
        <v>81.638402544390843</v>
      </c>
    </row>
    <row r="12" spans="1:7">
      <c r="A12" t="s">
        <v>21</v>
      </c>
      <c r="B12" t="str">
        <f>_xlfn.SWITCH(2,1,"one",2,"two")</f>
        <v>two</v>
      </c>
    </row>
    <row r="13" spans="1:7">
      <c r="A13" t="s">
        <v>22</v>
      </c>
      <c r="B13" cm="1">
        <f t="array" ref="B13">SUM(_xlfn.ANCHORARRAY(F1))</f>
        <v>100</v>
      </c>
    </row>
    <row r="14" spans="1:7">
      <c r="A14" t="s">
        <v>23</v>
      </c>
      <c r="B14" t="e" cm="1">
        <f t="array" ref="B14">_xlfn.SINGLE(Data!B2:B6)</f>
        <v>#VALUE!</v>
      </c>
    </row>
    <row r="15" spans="1:7">
      <c r="A15" t="s">
        <v>24</v>
      </c>
      <c r="B15">
        <f>TaxRate*B1</f>
        <v>173.89800000000002</v>
      </c>
    </row>
    <row r="16" spans="1:7">
      <c r="A16" t="s">
        <v>25</v>
      </c>
      <c r="B16" t="str">
        <f>TEXT(B1,"#,##0.00")</f>
        <v>869.49</v>
      </c>
    </row>
  </sheetData>
  <mergeCells count="1">
    <mergeCell ref="D1:E2"/>
  </mergeCell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2026-10-10T20:58:52Z</dcterms:created>
  <dcterms:modified xsi:type="dcterms:W3CDTF">2026-10-10T20:58:52Z</dcterms:modified>
  <cp:category/>
  <cp:contentStatus/>
</cp:coreProperties>
</file>