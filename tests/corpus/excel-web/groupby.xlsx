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 defaultThemeVersion="166925"/>
  <xr:revisionPtr revIDLastSave="0" documentId="8_{B8A5B29D-6D6A-40BB-8E44-B77F6191388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G" sheetId="2" r:id="rId2"/>
    <sheet name="P" sheetId="3" r:id="rId3"/>
    <sheet name="Pct" sheetId="4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6" i="4" l="1" a="1"/>
  <c r="B126" i="4"/>
  <c r="B101" i="4" a="1"/>
  <c r="B101" i="4"/>
  <c r="B76" i="4" a="1"/>
  <c r="B76" i="4"/>
  <c r="B51" i="4" a="1"/>
  <c r="B51" i="4"/>
  <c r="B26" i="4" a="1"/>
  <c r="B26" i="4"/>
  <c r="B1" i="4" a="1"/>
  <c r="B1" i="4"/>
  <c r="B551" i="3" a="1"/>
  <c r="B551" i="3"/>
  <c r="B526" i="3" a="1"/>
  <c r="B526" i="3"/>
  <c r="B501" i="3" a="1"/>
  <c r="B501" i="3"/>
  <c r="B476" i="3" a="1"/>
  <c r="B476" i="3"/>
  <c r="B451" i="3" a="1"/>
  <c r="B451" i="3"/>
  <c r="B426" i="3" a="1"/>
  <c r="B426" i="3"/>
  <c r="B401" i="3" a="1"/>
  <c r="B401" i="3"/>
  <c r="B376" i="3" a="1"/>
  <c r="B376" i="3"/>
  <c r="B351" i="3" a="1"/>
  <c r="B351" i="3"/>
  <c r="B326" i="3" a="1"/>
  <c r="B326" i="3"/>
  <c r="B301" i="3" a="1"/>
  <c r="B301" i="3"/>
  <c r="B276" i="3" a="1"/>
  <c r="B276" i="3"/>
  <c r="B251" i="3" a="1"/>
  <c r="B251" i="3"/>
  <c r="B226" i="3" a="1"/>
  <c r="B226" i="3"/>
  <c r="B201" i="3" a="1"/>
  <c r="B201" i="3"/>
  <c r="B176" i="3" a="1"/>
  <c r="B176" i="3"/>
  <c r="B151" i="3" a="1"/>
  <c r="B151" i="3"/>
  <c r="B126" i="3" a="1"/>
  <c r="B126" i="3"/>
  <c r="B101" i="3" a="1"/>
  <c r="B101" i="3"/>
  <c r="B76" i="3" a="1"/>
  <c r="B76" i="3"/>
  <c r="B51" i="3" a="1"/>
  <c r="B51" i="3"/>
  <c r="B26" i="3" a="1"/>
  <c r="B26" i="3"/>
  <c r="B1" i="3" a="1"/>
  <c r="B1" i="3"/>
  <c r="B926" i="2" a="1"/>
  <c r="B926" i="2"/>
  <c r="B901" i="2" a="1"/>
  <c r="B901" i="2"/>
  <c r="B876" i="2" a="1"/>
  <c r="B876" i="2"/>
  <c r="B851" i="2" a="1"/>
  <c r="B851" i="2"/>
  <c r="B826" i="2" a="1"/>
  <c r="B826" i="2"/>
  <c r="B801" i="2" a="1"/>
  <c r="B801" i="2"/>
  <c r="B776" i="2" a="1"/>
  <c r="B776" i="2"/>
  <c r="B751" i="2" a="1"/>
  <c r="B751" i="2"/>
  <c r="B726" i="2" a="1"/>
  <c r="B726" i="2"/>
  <c r="B701" i="2" a="1"/>
  <c r="B701" i="2"/>
  <c r="B676" i="2" a="1"/>
  <c r="B676" i="2"/>
  <c r="B651" i="2" a="1"/>
  <c r="B651" i="2"/>
  <c r="B626" i="2" a="1"/>
  <c r="B626" i="2"/>
  <c r="B601" i="2" a="1"/>
  <c r="B601" i="2"/>
  <c r="B576" i="2" a="1"/>
  <c r="B576" i="2"/>
  <c r="B551" i="2" a="1"/>
  <c r="B551" i="2"/>
  <c r="B526" i="2" a="1"/>
  <c r="B526" i="2"/>
  <c r="B501" i="2" a="1"/>
  <c r="B501" i="2"/>
  <c r="B476" i="2" a="1"/>
  <c r="B476" i="2"/>
  <c r="B451" i="2" a="1"/>
  <c r="B451" i="2"/>
  <c r="B426" i="2" a="1"/>
  <c r="B426" i="2"/>
  <c r="B401" i="2" a="1"/>
  <c r="B401" i="2"/>
  <c r="B376" i="2" a="1"/>
  <c r="B376" i="2"/>
  <c r="B351" i="2" a="1"/>
  <c r="B351" i="2"/>
  <c r="B326" i="2" a="1"/>
  <c r="B326" i="2"/>
  <c r="B301" i="2" a="1"/>
  <c r="B301" i="2"/>
  <c r="B276" i="2" a="1"/>
  <c r="B276" i="2"/>
  <c r="B251" i="2" a="1"/>
  <c r="B251" i="2"/>
  <c r="B226" i="2" a="1"/>
  <c r="B226" i="2"/>
  <c r="B201" i="2" a="1"/>
  <c r="B201" i="2"/>
  <c r="B176" i="2" a="1"/>
  <c r="B176" i="2"/>
  <c r="B151" i="2" a="1"/>
  <c r="B151" i="2"/>
  <c r="B126" i="2" a="1"/>
  <c r="B126" i="2"/>
  <c r="B101" i="2" a="1"/>
  <c r="B101" i="2"/>
  <c r="B76" i="2" a="1"/>
  <c r="B76" i="2"/>
  <c r="B51" i="2" a="1"/>
  <c r="B51" i="2"/>
  <c r="B26" i="2" a="1"/>
  <c r="B26" i="2"/>
  <c r="B1" i="2" a="1"/>
  <c r="B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<sst xmlns="http://schemas.openxmlformats.org/spreadsheetml/2006/main" count="94" uniqueCount="76">
  <si>
    <t>Region</t>
  </si>
  <si>
    <t>Product</t>
  </si>
  <si>
    <t>Units</t>
  </si>
  <si>
    <t>Price</t>
  </si>
  <si>
    <t>North</t>
  </si>
  <si>
    <t>A</t>
  </si>
  <si>
    <t>South</t>
  </si>
  <si>
    <t>B</t>
  </si>
  <si>
    <t>C</t>
  </si>
  <si>
    <t>GROUPBY(Data!A2:A13,Data!C2:C13,SUM)</t>
  </si>
  <si>
    <t>GROUPBY(Data!A1:A13,Data!C1:C13,SUM,0)</t>
  </si>
  <si>
    <t>GROUPBY(Data!A1:A13,Data!C1:C13,SUM,1)</t>
  </si>
  <si>
    <t>GROUPBY(Data!A1:A13,Data!C1:C13,SUM,2)</t>
  </si>
  <si>
    <t>GROUPBY(Data!A1:A13,Data!C1:C13,SUM,3)</t>
  </si>
  <si>
    <t>GROUPBY(Data!A1:A13,Data!C1:C13,SUM)</t>
  </si>
  <si>
    <t>GROUPBY(Data!A2:B13,Data!C2:C13,SUM,0,-2)</t>
  </si>
  <si>
    <t>GROUPBY(Data!A2:B13,Data!C2:C13,SUM,0,-1)</t>
  </si>
  <si>
    <t>GROUPBY(Data!A2:B13,Data!C2:C13,SUM,0,0)</t>
  </si>
  <si>
    <t>GROUPBY(Data!A2:B13,Data!C2:C13,SUM,0,1)</t>
  </si>
  <si>
    <t>GROUPBY(Data!A2:B13,Data!C2:C13,SUM,0,2)</t>
  </si>
  <si>
    <t>GROUPBY(Data!A2:B13,Data!C2:C13,SUM)</t>
  </si>
  <si>
    <t>GROUPBY(Data!A1:A13,Data!C1:C13,SUM,3,2)</t>
  </si>
  <si>
    <t>GROUPBY(Data!A2:A13,Data!C2:C13,SUM,0,1,-1)</t>
  </si>
  <si>
    <t>GROUPBY(Data!A2:A13,Data!C2:C13,SUM,0,1,2)</t>
  </si>
  <si>
    <t>GROUPBY(Data!A2:A13,Data!C2:C13,SUM,0,1,-2)</t>
  </si>
  <si>
    <t>GROUPBY(Data!A2:B13,Data!C2:C13,SUM,0,1,{1,-2})</t>
  </si>
  <si>
    <t>GROUPBY(Data!A2:B13,Data!C2:C13,SUM,0,1,{-1,3})</t>
  </si>
  <si>
    <t>GROUPBY(Data!A2:A13,Data!C2:C13,SUM,0,1,1,Data!A2:A13="North")</t>
  </si>
  <si>
    <t>GROUPBY(Data!A2:B13,Data!C2:C13,SUM,0,1,,,1)</t>
  </si>
  <si>
    <t>GROUPBY(Data!A2:B13,Data!C2:C13,SUM,0,2,,,1)</t>
  </si>
  <si>
    <t>GROUPBY(Data!A2:A13,Data!C2:C13,AVERAGE)</t>
  </si>
  <si>
    <t>GROUPBY(Data!A2:A13,Data!C2:C13,COUNT)</t>
  </si>
  <si>
    <t>GROUPBY(Data!A2:A13,Data!C2:C13,COUNTA)</t>
  </si>
  <si>
    <t>GROUPBY(Data!A2:A13,Data!C2:C13,MAX)</t>
  </si>
  <si>
    <t>GROUPBY(Data!A2:A13,Data!C2:C13,PERCENTOF)</t>
  </si>
  <si>
    <t>GROUPBY(Data!A2:A13,Data!C2:C13,HSTACK(SUM,AVERAGE))</t>
  </si>
  <si>
    <t>GROUPBY(Data!A2:A13,Data!C2:C13,LAMBDA(x,MAX(x)-MIN(x)))</t>
  </si>
  <si>
    <t>GROUPBY(Data!A2:A13,Data!C2:D13,SUM)</t>
  </si>
  <si>
    <t>GROUPBY(Data!B2:B13,Data!C2:C13,SUM)</t>
  </si>
  <si>
    <t>GROUPBY(Data!B2:B13,Data!D2:D13,SUM)</t>
  </si>
  <si>
    <t>GROUPBY(Data!A2:A13,Data!C2:C13,SUM,0,1,1,Data!A2:A12="North")</t>
  </si>
  <si>
    <t>GROUPBY(Data!A2:A13,Data!C2:C12,SUM)</t>
  </si>
  <si>
    <t>GROUPBY(Data!A2:A13,Data!C2:C13,1)</t>
  </si>
  <si>
    <t>GROUPBY(Data!A2:A13,Data!C2:C13,SUM,7)</t>
  </si>
  <si>
    <t>GROUPBY(Data!A2:A13,Data!C2:C13,SUM,0,3)</t>
  </si>
  <si>
    <t>GROUPBY(Data!A2:A13,Data!C2:C13,SUM,0,1,5)</t>
  </si>
  <si>
    <t>GROUPBY(Data!A2:A13,Data!C2:C13,SUM,0,1,1,Data!A2:A13="East")</t>
  </si>
  <si>
    <t>PIVOTBY(Data!A2:A13,Data!B2:B13,Data!C2:C13,SUM)</t>
  </si>
  <si>
    <t>PIVOTBY(Data!A1:A13,Data!B1:B13,Data!C1:C13,SUM,0)</t>
  </si>
  <si>
    <t>PIVOTBY(Data!A1:A13,Data!B1:B13,Data!C1:C13,SUM,1)</t>
  </si>
  <si>
    <t>PIVOTBY(Data!A1:A13,Data!B1:B13,Data!C1:C13,SUM,2)</t>
  </si>
  <si>
    <t>PIVOTBY(Data!A1:A13,Data!B1:B13,Data!C1:C13,SUM,3)</t>
  </si>
  <si>
    <t>PIVOTBY(Data!A2:A13,Data!B2:B13,Data!D2:D13,SUM,0,0)</t>
  </si>
  <si>
    <t>PIVOTBY(Data!A2:A13,Data!B2:B13,Data!D2:D13,SUM,0,-1)</t>
  </si>
  <si>
    <t>PIVOTBY(Data!A2:A13,Data!B2:B13,Data!D2:D13,SUM,0,2)</t>
  </si>
  <si>
    <t>PIVOTBY(Data!A2:A13,Data!B2:B13,Data!D2:D13,SUM,0,1,,0)</t>
  </si>
  <si>
    <t>PIVOTBY(Data!A2:A13,Data!B2:B13,Data!D2:D13,SUM,0,1,,-1)</t>
  </si>
  <si>
    <t>PIVOTBY(Data!A2:A13,Data!B2:B13,Data!D2:D13,SUM,0,1,-1)</t>
  </si>
  <si>
    <t>PIVOTBY(Data!A2:A13,Data!B2:B13,Data!D2:D13,SUM,0,1,1,1,-1)</t>
  </si>
  <si>
    <t>PIVOTBY(Data!A2:A13,Data!B2:B13,Data!D2:D13,PERCENTOF,0,1,1,1,1,,0)</t>
  </si>
  <si>
    <t>PIVOTBY(Data!A2:A13,Data!B2:B13,Data!D2:D13,PERCENTOF,0,1,1,1,1,,1)</t>
  </si>
  <si>
    <t>PIVOTBY(Data!A2:A13,Data!B2:B13,Data!D2:D13,PERCENTOF,0,1,1,1,1,,2)</t>
  </si>
  <si>
    <t>PIVOTBY(Data!A2:A13,Data!B2:B13,Data!D2:D13,PERCENTOF,0,1,1,1,1,,3)</t>
  </si>
  <si>
    <t>PIVOTBY(Data!A2:A13,Data!B2:B13,Data!D2:D13,PERCENTOF,0,1,1,1,1,,4)</t>
  </si>
  <si>
    <t>PIVOTBY(Data!A2:A13,Data!B2:B13,Data!D2:D13,SUM,0,1,1,1,1,Data!A2:A13="North")</t>
  </si>
  <si>
    <t>PIVOTBY(Data!A2:A13,Data!B2:B13,Data!C2:D13,SUM)</t>
  </si>
  <si>
    <t>PIVOTBY(Data!A2:B13,Data!A2:A13,Data!D2:D13,SUM)</t>
  </si>
  <si>
    <t>PIVOTBY(Data!A2:A13,Data!B2:B13,Data!D2:D13,AVERAGE)</t>
  </si>
  <si>
    <t>PIVOTBY(Data!A2:A13,Data!B2:B12,Data!D2:D13,SUM)</t>
  </si>
  <si>
    <t>PIVOTBY(Data!A2:A13,Data!B2:B13,Data!D2:D13,SUM,0,1,1,1,1,,9)</t>
  </si>
  <si>
    <t>PERCENTOF(Data!D2:D7,Data!D2:D13)</t>
  </si>
  <si>
    <t>PERCENTOF(Data!C2:C13,Data!C2:C13)</t>
  </si>
  <si>
    <t>PERCENTOF(Data!B2:B4,Data!D2:D4)</t>
  </si>
  <si>
    <t>PERCENTOF({1,2},{0,0})</t>
  </si>
  <si>
    <t>PERCENTOF(5,10)</t>
  </si>
  <si>
    <t>PERCENTOF(Data!D2:D7,Data!C2:C11)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</si>
</sst>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2</v>
    <v>39</v>
  </rv>
  <rv s="0">
    <v>2</v>
    <v>46</v>
  </rv>
  <rv s="0">
    <v>2</v>
    <v>32</v>
  </rv>
  <rv s="0">
    <v>2</v>
    <v>37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zoomScaleSheetLayoutView="100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1.5</v>
      </c>
    </row>
    <row r="3" spans="1:4">
      <c r="A3" t="s">
        <v>6</v>
      </c>
      <c r="B3" t="s">
        <v>7</v>
      </c>
      <c r="C3">
        <v>20</v>
      </c>
      <c r="D3">
        <v>2.25</v>
      </c>
    </row>
    <row r="4" spans="1:4">
      <c r="A4" t="s">
        <v>4</v>
      </c>
      <c r="B4" t="s">
        <v>5</v>
      </c>
      <c r="C4">
        <v>30</v>
      </c>
      <c r="D4">
        <v>1.5</v>
      </c>
    </row>
    <row r="5" spans="1:4">
      <c r="A5" t="s">
        <v>6</v>
      </c>
      <c r="B5" t="s">
        <v>8</v>
      </c>
      <c r="C5">
        <v>40</v>
      </c>
      <c r="D5">
        <v>3</v>
      </c>
    </row>
    <row r="6" spans="1:4">
      <c r="A6" t="s">
        <v>4</v>
      </c>
      <c r="B6" t="s">
        <v>7</v>
      </c>
      <c r="C6">
        <v>50</v>
      </c>
      <c r="D6">
        <v>2.25</v>
      </c>
    </row>
    <row r="7" spans="1:4">
      <c r="A7" t="s">
        <v>6</v>
      </c>
      <c r="B7" t="s">
        <v>5</v>
      </c>
      <c r="C7">
        <v>60</v>
      </c>
      <c r="D7">
        <v>1.5</v>
      </c>
    </row>
    <row r="8" spans="1:4">
      <c r="A8" t="s">
        <v>4</v>
      </c>
      <c r="B8" t="s">
        <v>8</v>
      </c>
      <c r="C8">
        <v>70</v>
      </c>
      <c r="D8">
        <v>3</v>
      </c>
    </row>
    <row r="9" spans="1:4">
      <c r="A9" t="s">
        <v>6</v>
      </c>
      <c r="B9" t="s">
        <v>7</v>
      </c>
      <c r="C9">
        <v>80</v>
      </c>
      <c r="D9">
        <v>2.25</v>
      </c>
    </row>
    <row r="10" spans="1:4">
      <c r="A10" t="s">
        <v>4</v>
      </c>
      <c r="B10" t="s">
        <v>5</v>
      </c>
      <c r="C10">
        <v>90</v>
      </c>
      <c r="D10">
        <v>1.5</v>
      </c>
    </row>
    <row r="11" spans="1:4">
      <c r="A11" t="s">
        <v>6</v>
      </c>
      <c r="B11" t="s">
        <v>8</v>
      </c>
      <c r="C11">
        <v>100</v>
      </c>
      <c r="D11">
        <v>3</v>
      </c>
    </row>
    <row r="12" spans="1:4">
      <c r="A12" t="s">
        <v>4</v>
      </c>
      <c r="C12">
        <v>110</v>
      </c>
      <c r="D12">
        <v>1.5</v>
      </c>
    </row>
    <row r="13" spans="1:4">
      <c r="A13" t="s">
        <v>6</v>
      </c>
      <c r="B13" t="s">
        <v>7</v>
      </c>
      <c r="C13" t="e">
        <v>#N/A</v>
      </c>
      <c r="D13">
        <v>2.25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6"/>
  <sheetViews>
    <sheetView zoomScaleNormal="100" zoomScaleSheetLayoutView="100" workbookViewId="0"/>
  </sheetViews>
  <sheetFormatPr defaultRowHeight="15"/>
  <sheetData>
    <row r="1" spans="1:3">
      <c r="A1" t="s">
        <v>9</v>
      </c>
      <c r="B1" t="str" cm="1">
        <f t="array" ref="B1:C3">_xlfn.GROUPBY(Data!A2:A13,Data!C2:C13,_xleta.SUM)</f>
        <v>North</v>
      </c>
      <c r="C1">
        <v>360</v>
      </c>
    </row>
    <row r="2" spans="1:3">
      <c r="B2" t="str">
        <v>South</v>
      </c>
      <c r="C2" t="e">
        <v>#N/A</v>
      </c>
    </row>
    <row r="3" spans="1:3">
      <c r="B3" t="str">
        <v>Total</v>
      </c>
      <c r="C3" t="e">
        <v>#N/A</v>
      </c>
    </row>
    <row r="26" spans="1:3">
      <c r="A26" t="s">
        <v>10</v>
      </c>
      <c r="B26" t="str" cm="1">
        <f t="array" ref="B26:C29">_xlfn.GROUPBY(Data!A1:A13,Data!C1:C13,_xleta.SUM,0)</f>
        <v>North</v>
      </c>
      <c r="C26">
        <v>360</v>
      </c>
    </row>
    <row r="27" spans="1:3">
      <c r="B27" t="str">
        <v>Region</v>
      </c>
      <c r="C27">
        <v>0</v>
      </c>
    </row>
    <row r="28" spans="1:3">
      <c r="B28" t="str">
        <v>South</v>
      </c>
      <c r="C28" t="e">
        <v>#N/A</v>
      </c>
    </row>
    <row r="29" spans="1:3">
      <c r="B29" t="str">
        <v>Total</v>
      </c>
      <c r="C29" t="e">
        <v>#N/A</v>
      </c>
    </row>
    <row r="51" spans="1:3">
      <c r="A51" t="s">
        <v>11</v>
      </c>
      <c r="B51" t="str" cm="1">
        <f t="array" ref="B51:C53">_xlfn.GROUPBY(Data!A1:A13,Data!C1:C13,_xleta.SUM,1)</f>
        <v>North</v>
      </c>
      <c r="C51">
        <v>360</v>
      </c>
    </row>
    <row r="52" spans="1:3">
      <c r="B52" t="str">
        <v>South</v>
      </c>
      <c r="C52" t="e">
        <v>#N/A</v>
      </c>
    </row>
    <row r="53" spans="1:3">
      <c r="B53" t="str">
        <v>Total</v>
      </c>
      <c r="C53" t="e">
        <v>#N/A</v>
      </c>
    </row>
    <row r="76" spans="1:3">
      <c r="A76" t="s">
        <v>12</v>
      </c>
      <c r="B76" t="str" cm="1">
        <f t="array" ref="B76:C80">_xlfn.GROUPBY(Data!A1:A13,Data!C1:C13,_xleta.SUM,2)</f>
        <v>Row Field 1</v>
      </c>
      <c r="C76" t="str">
        <v>Value 1</v>
      </c>
    </row>
    <row r="77" spans="1:3">
      <c r="B77" t="str">
        <v>North</v>
      </c>
      <c r="C77">
        <v>360</v>
      </c>
    </row>
    <row r="78" spans="1:3">
      <c r="B78" t="str">
        <v>Region</v>
      </c>
      <c r="C78">
        <v>0</v>
      </c>
    </row>
    <row r="79" spans="1:3">
      <c r="B79" t="str">
        <v>South</v>
      </c>
      <c r="C79" t="e">
        <v>#N/A</v>
      </c>
    </row>
    <row r="80" spans="1:3">
      <c r="B80" t="str">
        <v>Total</v>
      </c>
      <c r="C80" t="e">
        <v>#N/A</v>
      </c>
    </row>
    <row r="101" spans="1:3">
      <c r="A101" t="s">
        <v>13</v>
      </c>
      <c r="B101" t="str" cm="1">
        <f t="array" ref="B101:C104">_xlfn.GROUPBY(Data!A1:A13,Data!C1:C13,_xleta.SUM,3)</f>
        <v>Region</v>
      </c>
      <c r="C101" t="str">
        <v>Units</v>
      </c>
    </row>
    <row r="102" spans="1:3">
      <c r="B102" t="str">
        <v>North</v>
      </c>
      <c r="C102">
        <v>360</v>
      </c>
    </row>
    <row r="103" spans="1:3">
      <c r="B103" t="str">
        <v>South</v>
      </c>
      <c r="C103" t="e">
        <v>#N/A</v>
      </c>
    </row>
    <row r="104" spans="1:3">
      <c r="B104" t="str">
        <v>Total</v>
      </c>
      <c r="C104" t="e">
        <v>#N/A</v>
      </c>
    </row>
    <row r="126" spans="1:3">
      <c r="A126" t="s">
        <v>14</v>
      </c>
      <c r="B126" t="str" cm="1">
        <f t="array" ref="B126:C128">_xlfn.GROUPBY(Data!A1:A13,Data!C1:C13,_xleta.SUM)</f>
        <v>North</v>
      </c>
      <c r="C126">
        <v>360</v>
      </c>
    </row>
    <row r="127" spans="1:3">
      <c r="B127" t="str">
        <v>South</v>
      </c>
      <c r="C127" t="e">
        <v>#N/A</v>
      </c>
    </row>
    <row r="128" spans="1:3">
      <c r="B128" t="str">
        <v>Total</v>
      </c>
      <c r="C128" t="e">
        <v>#N/A</v>
      </c>
    </row>
    <row r="151" spans="1:4">
      <c r="A151" t="s">
        <v>15</v>
      </c>
      <c r="B151" t="str" cm="1">
        <f t="array" ref="B151:D160">_xlfn.GROUPBY(Data!A2:B13,Data!C2:C13,_xleta.SUM,0,-2)</f>
        <v>Grand Total</v>
      </c>
      <c r="C151" t="str">
        <v/>
      </c>
      <c r="D151" t="e">
        <v>#N/A</v>
      </c>
    </row>
    <row r="152" spans="1:4">
      <c r="B152" t="str">
        <v>North</v>
      </c>
      <c r="C152" t="str">
        <v/>
      </c>
      <c r="D152">
        <v>360</v>
      </c>
    </row>
    <row r="153" spans="1:4">
      <c r="B153" t="str">
        <v>North</v>
      </c>
      <c r="C153" t="str">
        <v>A</v>
      </c>
      <c r="D153">
        <v>130</v>
      </c>
    </row>
    <row r="154" spans="1:4">
      <c r="B154" t="str">
        <v>North</v>
      </c>
      <c r="C154" t="str">
        <v>B</v>
      </c>
      <c r="D154">
        <v>50</v>
      </c>
    </row>
    <row r="155" spans="1:4">
      <c r="B155" t="str">
        <v>North</v>
      </c>
      <c r="C155" t="str">
        <v>C</v>
      </c>
      <c r="D155">
        <v>70</v>
      </c>
    </row>
    <row r="156" spans="1:4">
      <c r="B156" t="str">
        <v>North</v>
      </c>
      <c r="C156">
        <v>0</v>
      </c>
      <c r="D156">
        <v>110</v>
      </c>
    </row>
    <row r="157" spans="1:4">
      <c r="B157" t="str">
        <v>South</v>
      </c>
      <c r="C157" t="str">
        <v/>
      </c>
      <c r="D157" t="e">
        <v>#N/A</v>
      </c>
    </row>
    <row r="158" spans="1:4">
      <c r="B158" t="str">
        <v>South</v>
      </c>
      <c r="C158" t="str">
        <v>A</v>
      </c>
      <c r="D158">
        <v>60</v>
      </c>
    </row>
    <row r="159" spans="1:4">
      <c r="B159" t="str">
        <v>South</v>
      </c>
      <c r="C159" t="str">
        <v>B</v>
      </c>
      <c r="D159" t="e">
        <v>#N/A</v>
      </c>
    </row>
    <row r="160" spans="1:4">
      <c r="B160" t="str">
        <v>South</v>
      </c>
      <c r="C160" t="str">
        <v>C</v>
      </c>
      <c r="D160">
        <v>140</v>
      </c>
    </row>
    <row r="176" spans="1:4">
      <c r="A176" t="s">
        <v>16</v>
      </c>
      <c r="B176" t="str" cm="1">
        <f t="array" ref="B176:D183">_xlfn.GROUPBY(Data!A2:B13,Data!C2:C13,_xleta.SUM,0,-1)</f>
        <v>Total</v>
      </c>
      <c r="C176" t="str">
        <v/>
      </c>
      <c r="D176" t="e">
        <v>#N/A</v>
      </c>
    </row>
    <row r="177" spans="2:4">
      <c r="B177" t="str">
        <v>North</v>
      </c>
      <c r="C177" t="str">
        <v>A</v>
      </c>
      <c r="D177">
        <v>130</v>
      </c>
    </row>
    <row r="178" spans="2:4">
      <c r="B178" t="str">
        <v>North</v>
      </c>
      <c r="C178" t="str">
        <v>B</v>
      </c>
      <c r="D178">
        <v>50</v>
      </c>
    </row>
    <row r="179" spans="2:4">
      <c r="B179" t="str">
        <v>North</v>
      </c>
      <c r="C179" t="str">
        <v>C</v>
      </c>
      <c r="D179">
        <v>70</v>
      </c>
    </row>
    <row r="180" spans="2:4">
      <c r="B180" t="str">
        <v>North</v>
      </c>
      <c r="C180">
        <v>0</v>
      </c>
      <c r="D180">
        <v>110</v>
      </c>
    </row>
    <row r="181" spans="2:4">
      <c r="B181" t="str">
        <v>South</v>
      </c>
      <c r="C181" t="str">
        <v>A</v>
      </c>
      <c r="D181">
        <v>60</v>
      </c>
    </row>
    <row r="182" spans="2:4">
      <c r="B182" t="str">
        <v>South</v>
      </c>
      <c r="C182" t="str">
        <v>B</v>
      </c>
      <c r="D182" t="e">
        <v>#N/A</v>
      </c>
    </row>
    <row r="183" spans="2:4">
      <c r="B183" t="str">
        <v>South</v>
      </c>
      <c r="C183" t="str">
        <v>C</v>
      </c>
      <c r="D183">
        <v>140</v>
      </c>
    </row>
    <row r="201" spans="1:4">
      <c r="A201" t="s">
        <v>17</v>
      </c>
      <c r="B201" t="str" cm="1">
        <f t="array" ref="B201:D207">_xlfn.GROUPBY(Data!A2:B13,Data!C2:C13,_xleta.SUM,0,0)</f>
        <v>North</v>
      </c>
      <c r="C201" t="str">
        <v>A</v>
      </c>
      <c r="D201">
        <v>130</v>
      </c>
    </row>
    <row r="202" spans="1:4">
      <c r="B202" t="str">
        <v>North</v>
      </c>
      <c r="C202" t="str">
        <v>B</v>
      </c>
      <c r="D202">
        <v>50</v>
      </c>
    </row>
    <row r="203" spans="1:4">
      <c r="B203" t="str">
        <v>North</v>
      </c>
      <c r="C203" t="str">
        <v>C</v>
      </c>
      <c r="D203">
        <v>70</v>
      </c>
    </row>
    <row r="204" spans="1:4">
      <c r="B204" t="str">
        <v>North</v>
      </c>
      <c r="C204">
        <v>0</v>
      </c>
      <c r="D204">
        <v>110</v>
      </c>
    </row>
    <row r="205" spans="1:4">
      <c r="B205" t="str">
        <v>South</v>
      </c>
      <c r="C205" t="str">
        <v>A</v>
      </c>
      <c r="D205">
        <v>60</v>
      </c>
    </row>
    <row r="206" spans="1:4">
      <c r="B206" t="str">
        <v>South</v>
      </c>
      <c r="C206" t="str">
        <v>B</v>
      </c>
      <c r="D206" t="e">
        <v>#N/A</v>
      </c>
    </row>
    <row r="207" spans="1:4">
      <c r="B207" t="str">
        <v>South</v>
      </c>
      <c r="C207" t="str">
        <v>C</v>
      </c>
      <c r="D207">
        <v>140</v>
      </c>
    </row>
    <row r="226" spans="1:4">
      <c r="A226" t="s">
        <v>18</v>
      </c>
      <c r="B226" t="str" cm="1">
        <f t="array" ref="B226:D233">_xlfn.GROUPBY(Data!A2:B13,Data!C2:C13,_xleta.SUM,0,1)</f>
        <v>North</v>
      </c>
      <c r="C226" t="str">
        <v>A</v>
      </c>
      <c r="D226">
        <v>130</v>
      </c>
    </row>
    <row r="227" spans="1:4">
      <c r="B227" t="str">
        <v>North</v>
      </c>
      <c r="C227" t="str">
        <v>B</v>
      </c>
      <c r="D227">
        <v>50</v>
      </c>
    </row>
    <row r="228" spans="1:4">
      <c r="B228" t="str">
        <v>North</v>
      </c>
      <c r="C228" t="str">
        <v>C</v>
      </c>
      <c r="D228">
        <v>70</v>
      </c>
    </row>
    <row r="229" spans="1:4">
      <c r="B229" t="str">
        <v>North</v>
      </c>
      <c r="C229">
        <v>0</v>
      </c>
      <c r="D229">
        <v>110</v>
      </c>
    </row>
    <row r="230" spans="1:4">
      <c r="B230" t="str">
        <v>South</v>
      </c>
      <c r="C230" t="str">
        <v>A</v>
      </c>
      <c r="D230">
        <v>60</v>
      </c>
    </row>
    <row r="231" spans="1:4">
      <c r="B231" t="str">
        <v>South</v>
      </c>
      <c r="C231" t="str">
        <v>B</v>
      </c>
      <c r="D231" t="e">
        <v>#N/A</v>
      </c>
    </row>
    <row r="232" spans="1:4">
      <c r="B232" t="str">
        <v>South</v>
      </c>
      <c r="C232" t="str">
        <v>C</v>
      </c>
      <c r="D232">
        <v>140</v>
      </c>
    </row>
    <row r="233" spans="1:4">
      <c r="B233" t="str">
        <v>Total</v>
      </c>
      <c r="C233" t="str">
        <v/>
      </c>
      <c r="D233" t="e">
        <v>#N/A</v>
      </c>
    </row>
    <row r="251" spans="1:4">
      <c r="A251" t="s">
        <v>19</v>
      </c>
      <c r="B251" t="str" cm="1">
        <f t="array" ref="B251:D260">_xlfn.GROUPBY(Data!A2:B13,Data!C2:C13,_xleta.SUM,0,2)</f>
        <v>North</v>
      </c>
      <c r="C251" t="str">
        <v>A</v>
      </c>
      <c r="D251">
        <v>130</v>
      </c>
    </row>
    <row r="252" spans="1:4">
      <c r="B252" t="str">
        <v>North</v>
      </c>
      <c r="C252" t="str">
        <v>B</v>
      </c>
      <c r="D252">
        <v>50</v>
      </c>
    </row>
    <row r="253" spans="1:4">
      <c r="B253" t="str">
        <v>North</v>
      </c>
      <c r="C253" t="str">
        <v>C</v>
      </c>
      <c r="D253">
        <v>70</v>
      </c>
    </row>
    <row r="254" spans="1:4">
      <c r="B254" t="str">
        <v>North</v>
      </c>
      <c r="C254">
        <v>0</v>
      </c>
      <c r="D254">
        <v>110</v>
      </c>
    </row>
    <row r="255" spans="1:4">
      <c r="B255" t="str">
        <v>North</v>
      </c>
      <c r="C255" t="str">
        <v/>
      </c>
      <c r="D255">
        <v>360</v>
      </c>
    </row>
    <row r="256" spans="1:4">
      <c r="B256" t="str">
        <v>South</v>
      </c>
      <c r="C256" t="str">
        <v>A</v>
      </c>
      <c r="D256">
        <v>60</v>
      </c>
    </row>
    <row r="257" spans="2:4">
      <c r="B257" t="str">
        <v>South</v>
      </c>
      <c r="C257" t="str">
        <v>B</v>
      </c>
      <c r="D257" t="e">
        <v>#N/A</v>
      </c>
    </row>
    <row r="258" spans="2:4">
      <c r="B258" t="str">
        <v>South</v>
      </c>
      <c r="C258" t="str">
        <v>C</v>
      </c>
      <c r="D258">
        <v>140</v>
      </c>
    </row>
    <row r="259" spans="2:4">
      <c r="B259" t="str">
        <v>South</v>
      </c>
      <c r="C259" t="str">
        <v/>
      </c>
      <c r="D259" t="e">
        <v>#N/A</v>
      </c>
    </row>
    <row r="260" spans="2:4">
      <c r="B260" t="str">
        <v>Grand Total</v>
      </c>
      <c r="C260" t="str">
        <v/>
      </c>
      <c r="D260" t="e">
        <v>#N/A</v>
      </c>
    </row>
    <row r="276" spans="1:4">
      <c r="A276" t="s">
        <v>20</v>
      </c>
      <c r="B276" t="str" cm="1">
        <f t="array" ref="B276:D283">_xlfn.GROUPBY(Data!A2:B13,Data!C2:C13,_xleta.SUM)</f>
        <v>North</v>
      </c>
      <c r="C276" t="str">
        <v>A</v>
      </c>
      <c r="D276">
        <v>130</v>
      </c>
    </row>
    <row r="277" spans="1:4">
      <c r="B277" t="str">
        <v>North</v>
      </c>
      <c r="C277" t="str">
        <v>B</v>
      </c>
      <c r="D277">
        <v>50</v>
      </c>
    </row>
    <row r="278" spans="1:4">
      <c r="B278" t="str">
        <v>North</v>
      </c>
      <c r="C278" t="str">
        <v>C</v>
      </c>
      <c r="D278">
        <v>70</v>
      </c>
    </row>
    <row r="279" spans="1:4">
      <c r="B279" t="str">
        <v>North</v>
      </c>
      <c r="C279">
        <v>0</v>
      </c>
      <c r="D279">
        <v>110</v>
      </c>
    </row>
    <row r="280" spans="1:4">
      <c r="B280" t="str">
        <v>South</v>
      </c>
      <c r="C280" t="str">
        <v>A</v>
      </c>
      <c r="D280">
        <v>60</v>
      </c>
    </row>
    <row r="281" spans="1:4">
      <c r="B281" t="str">
        <v>South</v>
      </c>
      <c r="C281" t="str">
        <v>B</v>
      </c>
      <c r="D281" t="e">
        <v>#N/A</v>
      </c>
    </row>
    <row r="282" spans="1:4">
      <c r="B282" t="str">
        <v>South</v>
      </c>
      <c r="C282" t="str">
        <v>C</v>
      </c>
      <c r="D282">
        <v>140</v>
      </c>
    </row>
    <row r="283" spans="1:4">
      <c r="B283" t="str">
        <v>Total</v>
      </c>
      <c r="C283" t="str">
        <v/>
      </c>
      <c r="D283" t="e">
        <v>#N/A</v>
      </c>
    </row>
    <row r="301" spans="1:2">
      <c r="A301" t="s">
        <v>21</v>
      </c>
      <c r="B301" t="e" cm="1" vm="1">
        <f t="array" ref="B301">_xlfn.GROUPBY(Data!A1:A13,Data!C1:C13,_xleta.SUM,3,2)</f>
        <v>#VALUE!</v>
      </c>
    </row>
    <row r="326" spans="1:3">
      <c r="A326" t="s">
        <v>22</v>
      </c>
      <c r="B326" t="str" cm="1">
        <f t="array" ref="B326:C328">_xlfn.GROUPBY(Data!A2:A13,Data!C2:C13,_xleta.SUM,0,1,-1)</f>
        <v>South</v>
      </c>
      <c r="C326" t="e">
        <v>#N/A</v>
      </c>
    </row>
    <row r="327" spans="1:3">
      <c r="B327" t="str">
        <v>North</v>
      </c>
      <c r="C327">
        <v>360</v>
      </c>
    </row>
    <row r="328" spans="1:3">
      <c r="B328" t="str">
        <v>Total</v>
      </c>
      <c r="C328" t="e">
        <v>#N/A</v>
      </c>
    </row>
    <row r="351" spans="1:3">
      <c r="A351" t="s">
        <v>23</v>
      </c>
      <c r="B351" t="str" cm="1">
        <f t="array" ref="B351:C353">_xlfn.GROUPBY(Data!A2:A13,Data!C2:C13,_xleta.SUM,0,1,2)</f>
        <v>North</v>
      </c>
      <c r="C351">
        <v>360</v>
      </c>
    </row>
    <row r="352" spans="1:3">
      <c r="B352" t="str">
        <v>South</v>
      </c>
      <c r="C352" t="e">
        <v>#N/A</v>
      </c>
    </row>
    <row r="353" spans="2:3">
      <c r="B353" t="str">
        <v>Total</v>
      </c>
      <c r="C353" t="e">
        <v>#N/A</v>
      </c>
    </row>
    <row r="376" spans="1:3">
      <c r="A376" t="s">
        <v>24</v>
      </c>
      <c r="B376" t="str" cm="1">
        <f t="array" ref="B376:C378">_xlfn.GROUPBY(Data!A2:A13,Data!C2:C13,_xleta.SUM,0,1,-2)</f>
        <v>South</v>
      </c>
      <c r="C376" t="e">
        <v>#N/A</v>
      </c>
    </row>
    <row r="377" spans="1:3">
      <c r="B377" t="str">
        <v>North</v>
      </c>
      <c r="C377">
        <v>360</v>
      </c>
    </row>
    <row r="378" spans="1:3">
      <c r="B378" t="str">
        <v>Total</v>
      </c>
      <c r="C378" t="e">
        <v>#N/A</v>
      </c>
    </row>
    <row r="401" spans="1:4">
      <c r="A401" t="s">
        <v>25</v>
      </c>
      <c r="B401" t="str" cm="1">
        <f t="array" ref="B401:D408">_xlfn.GROUPBY(Data!A2:B13,Data!C2:C13,_xleta.SUM,0,1,{1,-2})</f>
        <v>North</v>
      </c>
      <c r="C401" t="str">
        <v>C</v>
      </c>
      <c r="D401">
        <v>70</v>
      </c>
    </row>
    <row r="402" spans="1:4">
      <c r="B402" t="str">
        <v>North</v>
      </c>
      <c r="C402" t="str">
        <v>B</v>
      </c>
      <c r="D402">
        <v>50</v>
      </c>
    </row>
    <row r="403" spans="1:4">
      <c r="B403" t="str">
        <v>North</v>
      </c>
      <c r="C403" t="str">
        <v>A</v>
      </c>
      <c r="D403">
        <v>130</v>
      </c>
    </row>
    <row r="404" spans="1:4">
      <c r="B404" t="str">
        <v>North</v>
      </c>
      <c r="C404">
        <v>0</v>
      </c>
      <c r="D404">
        <v>110</v>
      </c>
    </row>
    <row r="405" spans="1:4">
      <c r="B405" t="str">
        <v>South</v>
      </c>
      <c r="C405" t="str">
        <v>C</v>
      </c>
      <c r="D405">
        <v>140</v>
      </c>
    </row>
    <row r="406" spans="1:4">
      <c r="B406" t="str">
        <v>South</v>
      </c>
      <c r="C406" t="str">
        <v>B</v>
      </c>
      <c r="D406" t="e">
        <v>#N/A</v>
      </c>
    </row>
    <row r="407" spans="1:4">
      <c r="B407" t="str">
        <v>South</v>
      </c>
      <c r="C407" t="str">
        <v>A</v>
      </c>
      <c r="D407">
        <v>60</v>
      </c>
    </row>
    <row r="408" spans="1:4">
      <c r="B408" t="str">
        <v>Total</v>
      </c>
      <c r="C408" t="str">
        <v/>
      </c>
      <c r="D408" t="e">
        <v>#N/A</v>
      </c>
    </row>
    <row r="426" spans="1:2">
      <c r="A426" t="s">
        <v>26</v>
      </c>
      <c r="B426" t="e" cm="1">
        <f t="array" ref="B426">_xlfn.GROUPBY(Data!A2:B13,Data!C2:C13,_xleta.SUM,0,1,{-1,3})</f>
        <v>#VALUE!</v>
      </c>
    </row>
    <row r="451" spans="1:3">
      <c r="A451" t="s">
        <v>27</v>
      </c>
      <c r="B451" t="str" cm="1">
        <f t="array" ref="B451:C452">_xlfn.GROUPBY(Data!A2:A13,Data!C2:C13,_xleta.SUM,0,1,1,Data!A2:A13="North")</f>
        <v>North</v>
      </c>
      <c r="C451">
        <v>360</v>
      </c>
    </row>
    <row r="452" spans="1:3">
      <c r="B452" t="str">
        <v>Total</v>
      </c>
      <c r="C452">
        <v>360</v>
      </c>
    </row>
    <row r="476" spans="1:4">
      <c r="A476" t="s">
        <v>28</v>
      </c>
      <c r="B476" t="str" cm="1">
        <f t="array" ref="B476:D483">_xlfn.GROUPBY(Data!A2:B13,Data!C2:C13,_xleta.SUM,0,1,,,1)</f>
        <v>North</v>
      </c>
      <c r="C476" t="str">
        <v>A</v>
      </c>
      <c r="D476">
        <v>130</v>
      </c>
    </row>
    <row r="477" spans="1:4">
      <c r="B477" t="str">
        <v>North</v>
      </c>
      <c r="C477" t="str">
        <v>B</v>
      </c>
      <c r="D477">
        <v>50</v>
      </c>
    </row>
    <row r="478" spans="1:4">
      <c r="B478" t="str">
        <v>North</v>
      </c>
      <c r="C478" t="str">
        <v>C</v>
      </c>
      <c r="D478">
        <v>70</v>
      </c>
    </row>
    <row r="479" spans="1:4">
      <c r="B479" t="str">
        <v>North</v>
      </c>
      <c r="C479">
        <v>0</v>
      </c>
      <c r="D479">
        <v>110</v>
      </c>
    </row>
    <row r="480" spans="1:4">
      <c r="B480" t="str">
        <v>South</v>
      </c>
      <c r="C480" t="str">
        <v>A</v>
      </c>
      <c r="D480">
        <v>60</v>
      </c>
    </row>
    <row r="481" spans="2:4">
      <c r="B481" t="str">
        <v>South</v>
      </c>
      <c r="C481" t="str">
        <v>B</v>
      </c>
      <c r="D481" t="e">
        <v>#N/A</v>
      </c>
    </row>
    <row r="482" spans="2:4">
      <c r="B482" t="str">
        <v>South</v>
      </c>
      <c r="C482" t="str">
        <v>C</v>
      </c>
      <c r="D482">
        <v>140</v>
      </c>
    </row>
    <row r="483" spans="2:4">
      <c r="B483" t="str">
        <v>Total</v>
      </c>
      <c r="C483" t="str">
        <v/>
      </c>
      <c r="D483" t="e">
        <v>#N/A</v>
      </c>
    </row>
    <row r="501" spans="1:2">
      <c r="A501" t="s">
        <v>29</v>
      </c>
      <c r="B501" t="e" cm="1" vm="2">
        <f t="array" ref="B501">_xlfn.GROUPBY(Data!A2:B13,Data!C2:C13,_xleta.SUM,0,2,,,1)</f>
        <v>#VALUE!</v>
      </c>
    </row>
    <row r="526" spans="1:3">
      <c r="A526" t="s">
        <v>30</v>
      </c>
      <c r="B526" t="str" cm="1">
        <f t="array" ref="B526:C528">_xlfn.GROUPBY(Data!A2:A13,Data!C2:C13,_xleta.AVERAGE)</f>
        <v>North</v>
      </c>
      <c r="C526">
        <v>60</v>
      </c>
    </row>
    <row r="527" spans="1:3">
      <c r="B527" t="str">
        <v>South</v>
      </c>
      <c r="C527" t="e">
        <v>#N/A</v>
      </c>
    </row>
    <row r="528" spans="1:3">
      <c r="B528" t="str">
        <v>Total</v>
      </c>
      <c r="C528" t="e">
        <v>#N/A</v>
      </c>
    </row>
    <row r="551" spans="1:3">
      <c r="A551" t="s">
        <v>31</v>
      </c>
      <c r="B551" t="str" cm="1">
        <f t="array" ref="B551:C553">_xlfn.GROUPBY(Data!A2:A13,Data!C2:C13,_xleta.COUNT)</f>
        <v>North</v>
      </c>
      <c r="C551">
        <v>6</v>
      </c>
    </row>
    <row r="552" spans="1:3">
      <c r="B552" t="str">
        <v>South</v>
      </c>
      <c r="C552">
        <v>5</v>
      </c>
    </row>
    <row r="553" spans="1:3">
      <c r="B553" t="str">
        <v>Total</v>
      </c>
      <c r="C553">
        <v>11</v>
      </c>
    </row>
    <row r="576" spans="1:3">
      <c r="A576" t="s">
        <v>32</v>
      </c>
      <c r="B576" t="str" cm="1">
        <f t="array" ref="B576:C578">_xlfn.GROUPBY(Data!A2:A13,Data!C2:C13,_xleta.COUNTA)</f>
        <v>North</v>
      </c>
      <c r="C576">
        <v>6</v>
      </c>
    </row>
    <row r="577" spans="2:3">
      <c r="B577" t="str">
        <v>South</v>
      </c>
      <c r="C577">
        <v>6</v>
      </c>
    </row>
    <row r="578" spans="2:3">
      <c r="B578" t="str">
        <v>Total</v>
      </c>
      <c r="C578">
        <v>12</v>
      </c>
    </row>
    <row r="601" spans="1:3">
      <c r="A601" t="s">
        <v>33</v>
      </c>
      <c r="B601" t="str" cm="1">
        <f t="array" ref="B601:C603">_xlfn.GROUPBY(Data!A2:A13,Data!C2:C13,_xleta.MAX)</f>
        <v>North</v>
      </c>
      <c r="C601">
        <v>110</v>
      </c>
    </row>
    <row r="602" spans="1:3">
      <c r="B602" t="str">
        <v>South</v>
      </c>
      <c r="C602" t="e">
        <v>#N/A</v>
      </c>
    </row>
    <row r="603" spans="1:3">
      <c r="B603" t="str">
        <v>Total</v>
      </c>
      <c r="C603" t="e">
        <v>#N/A</v>
      </c>
    </row>
    <row r="626" spans="1:3">
      <c r="A626" t="s">
        <v>34</v>
      </c>
      <c r="B626" t="str" cm="1">
        <f t="array" ref="B626:C628">_xlfn.GROUPBY(Data!A2:A13,Data!C2:C13,_xleta.PERCENTOF)</f>
        <v>North</v>
      </c>
      <c r="C626" t="e">
        <v>#NUM!</v>
      </c>
    </row>
    <row r="627" spans="1:3">
      <c r="B627" t="str">
        <v>South</v>
      </c>
      <c r="C627" t="e">
        <v>#NUM!</v>
      </c>
    </row>
    <row r="628" spans="1:3">
      <c r="B628" t="str">
        <v>Total</v>
      </c>
      <c r="C628" t="e">
        <v>#NUM!</v>
      </c>
    </row>
    <row r="651" spans="1:4">
      <c r="A651" t="s">
        <v>35</v>
      </c>
      <c r="B651" t="str" cm="1">
        <f t="array" ref="B651:D654">_xlfn.GROUPBY(Data!A2:A13,Data!C2:C13,_xlfn.HSTACK(_xleta.SUM,_xleta.AVERAGE))</f>
        <v/>
      </c>
      <c r="C651" t="str">
        <v>SUM</v>
      </c>
      <c r="D651" t="str">
        <v>AVERAGE</v>
      </c>
    </row>
    <row r="652" spans="1:4">
      <c r="B652" t="str">
        <v>North</v>
      </c>
      <c r="C652">
        <v>360</v>
      </c>
      <c r="D652">
        <v>60</v>
      </c>
    </row>
    <row r="653" spans="1:4">
      <c r="B653" t="str">
        <v>South</v>
      </c>
      <c r="C653" t="e">
        <v>#N/A</v>
      </c>
      <c r="D653" t="e">
        <v>#N/A</v>
      </c>
    </row>
    <row r="654" spans="1:4">
      <c r="B654" t="str">
        <v>Total</v>
      </c>
      <c r="C654" t="e">
        <v>#N/A</v>
      </c>
      <c r="D654" t="e">
        <v>#N/A</v>
      </c>
    </row>
    <row r="676" spans="1:3">
      <c r="A676" t="s">
        <v>36</v>
      </c>
      <c r="B676" t="str" cm="1">
        <f t="array" ref="B676:C678">_xlfn.GROUPBY(Data!A2:A13,Data!C2:C13,_xlfn.LAMBDA(_xlpm.x,MAX(_xlpm.x)-MIN(_xlpm.x)))</f>
        <v>North</v>
      </c>
      <c r="C676">
        <v>100</v>
      </c>
    </row>
    <row r="677" spans="1:3">
      <c r="B677" t="str">
        <v>South</v>
      </c>
      <c r="C677" t="e">
        <v>#N/A</v>
      </c>
    </row>
    <row r="678" spans="1:3">
      <c r="B678" t="str">
        <v>Total</v>
      </c>
      <c r="C678" t="e">
        <v>#N/A</v>
      </c>
    </row>
    <row r="701" spans="1:4">
      <c r="A701" t="s">
        <v>37</v>
      </c>
      <c r="B701" t="str" cm="1">
        <f t="array" ref="B701:D703">_xlfn.GROUPBY(Data!A2:A13,Data!C2:D13,_xleta.SUM)</f>
        <v>North</v>
      </c>
      <c r="C701">
        <v>360</v>
      </c>
      <c r="D701">
        <v>11.25</v>
      </c>
    </row>
    <row r="702" spans="1:4">
      <c r="B702" t="str">
        <v>South</v>
      </c>
      <c r="C702" t="e">
        <v>#N/A</v>
      </c>
      <c r="D702">
        <v>14.25</v>
      </c>
    </row>
    <row r="703" spans="1:4">
      <c r="B703" t="str">
        <v>Total</v>
      </c>
      <c r="C703" t="e">
        <v>#N/A</v>
      </c>
      <c r="D703">
        <v>25.5</v>
      </c>
    </row>
    <row r="726" spans="1:3">
      <c r="A726" t="s">
        <v>38</v>
      </c>
      <c r="B726" t="str" cm="1">
        <f t="array" ref="B726:C730">_xlfn.GROUPBY(Data!B2:B13,Data!C2:C13,_xleta.SUM)</f>
        <v>A</v>
      </c>
      <c r="C726">
        <v>190</v>
      </c>
    </row>
    <row r="727" spans="1:3">
      <c r="B727" t="str">
        <v>B</v>
      </c>
      <c r="C727" t="e">
        <v>#N/A</v>
      </c>
    </row>
    <row r="728" spans="1:3">
      <c r="B728" t="str">
        <v>C</v>
      </c>
      <c r="C728">
        <v>210</v>
      </c>
    </row>
    <row r="729" spans="1:3">
      <c r="B729">
        <v>0</v>
      </c>
      <c r="C729">
        <v>110</v>
      </c>
    </row>
    <row r="730" spans="1:3">
      <c r="B730" t="str">
        <v>Total</v>
      </c>
      <c r="C730" t="e">
        <v>#N/A</v>
      </c>
    </row>
    <row r="751" spans="1:3">
      <c r="A751" t="s">
        <v>39</v>
      </c>
      <c r="B751" t="str" cm="1">
        <f t="array" ref="B751:C755">_xlfn.GROUPBY(Data!B2:B13,Data!D2:D13,_xleta.SUM)</f>
        <v>A</v>
      </c>
      <c r="C751">
        <v>6</v>
      </c>
    </row>
    <row r="752" spans="1:3">
      <c r="B752" t="str">
        <v>B</v>
      </c>
      <c r="C752">
        <v>9</v>
      </c>
    </row>
    <row r="753" spans="2:3">
      <c r="B753" t="str">
        <v>C</v>
      </c>
      <c r="C753">
        <v>9</v>
      </c>
    </row>
    <row r="754" spans="2:3">
      <c r="B754">
        <v>0</v>
      </c>
      <c r="C754">
        <v>1.5</v>
      </c>
    </row>
    <row r="755" spans="2:3">
      <c r="B755" t="str">
        <v>Total</v>
      </c>
      <c r="C755">
        <v>25.5</v>
      </c>
    </row>
    <row r="776" spans="1:2">
      <c r="A776" t="s">
        <v>40</v>
      </c>
      <c r="B776" t="e" cm="1">
        <f t="array" ref="B776">_xlfn.GROUPBY(Data!A2:A13,Data!C2:C13,_xleta.SUM,0,1,1,Data!A2:A12="North")</f>
        <v>#VALUE!</v>
      </c>
    </row>
    <row r="801" spans="1:2">
      <c r="A801" t="s">
        <v>41</v>
      </c>
      <c r="B801" t="e" cm="1" vm="3">
        <f t="array" ref="B801">_xlfn.GROUPBY(Data!A2:A13,Data!C2:C12,_xleta.SUM)</f>
        <v>#VALUE!</v>
      </c>
    </row>
    <row r="826" spans="1:2">
      <c r="A826" t="s">
        <v>42</v>
      </c>
      <c r="B826" t="e" cm="1" vm="4">
        <f t="array" ref="B826">_xlfn.GROUPBY(Data!A2:A13,Data!C2:C13,1)</f>
        <v>#VALUE!</v>
      </c>
    </row>
    <row r="851" spans="1:2">
      <c r="A851" t="s">
        <v>43</v>
      </c>
      <c r="B851" t="e" cm="1">
        <f t="array" ref="B851">_xlfn.GROUPBY(Data!A2:A13,Data!C2:C13,_xleta.SUM,7)</f>
        <v>#VALUE!</v>
      </c>
    </row>
    <row r="876" spans="1:2">
      <c r="A876" t="s">
        <v>44</v>
      </c>
      <c r="B876" t="e" cm="1" vm="1">
        <f t="array" ref="B876">_xlfn.GROUPBY(Data!A2:A13,Data!C2:C13,_xleta.SUM,0,3)</f>
        <v>#VALUE!</v>
      </c>
    </row>
    <row r="901" spans="1:2">
      <c r="A901" t="s">
        <v>45</v>
      </c>
      <c r="B901" t="e" cm="1">
        <f t="array" ref="B901">_xlfn.GROUPBY(Data!A2:A13,Data!C2:C13,_xleta.SUM,0,1,5)</f>
        <v>#VALUE!</v>
      </c>
    </row>
    <row r="926" spans="1:2">
      <c r="A926" t="s">
        <v>46</v>
      </c>
      <c r="B926" t="e" cm="1">
        <f t="array" ref="B926">_xlfn.GROUPBY(Data!A2:A13,Data!C2:C13,_xleta.SUM,0,1,1,Data!A2:A13="East")</f>
        <v>#VALUE!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1"/>
  <sheetViews>
    <sheetView zoomScaleNormal="100" zoomScaleSheetLayoutView="100" workbookViewId="0"/>
  </sheetViews>
  <sheetFormatPr defaultRowHeight="15"/>
  <sheetData>
    <row r="1" spans="1:7">
      <c r="A1" t="s">
        <v>47</v>
      </c>
      <c r="B1" t="str" cm="1">
        <f t="array" ref="B1:G4">_xlfn.PIVOTBY(Data!A2:A13,Data!B2:B13,Data!C2:C13,_xleta.SUM)</f>
        <v/>
      </c>
      <c r="C1" t="str">
        <v>A</v>
      </c>
      <c r="D1" t="str">
        <v>B</v>
      </c>
      <c r="E1" t="str">
        <v>C</v>
      </c>
      <c r="F1">
        <v>0</v>
      </c>
      <c r="G1" t="str">
        <v>Total</v>
      </c>
    </row>
    <row r="2" spans="1:7">
      <c r="B2" t="str">
        <v>North</v>
      </c>
      <c r="C2">
        <v>130</v>
      </c>
      <c r="D2">
        <v>50</v>
      </c>
      <c r="E2">
        <v>70</v>
      </c>
      <c r="F2">
        <v>110</v>
      </c>
      <c r="G2">
        <v>360</v>
      </c>
    </row>
    <row r="3" spans="1:7">
      <c r="B3" t="str">
        <v>South</v>
      </c>
      <c r="C3">
        <v>60</v>
      </c>
      <c r="D3" t="e">
        <v>#N/A</v>
      </c>
      <c r="E3">
        <v>140</v>
      </c>
      <c r="F3" t="str">
        <v/>
      </c>
      <c r="G3" t="e">
        <v>#N/A</v>
      </c>
    </row>
    <row r="4" spans="1:7">
      <c r="B4" t="str">
        <v>Total</v>
      </c>
      <c r="C4">
        <v>190</v>
      </c>
      <c r="D4" t="e">
        <v>#N/A</v>
      </c>
      <c r="E4">
        <v>210</v>
      </c>
      <c r="F4">
        <v>110</v>
      </c>
      <c r="G4" t="e">
        <v>#N/A</v>
      </c>
    </row>
    <row r="26" spans="1:8">
      <c r="A26" t="s">
        <v>48</v>
      </c>
      <c r="B26" t="str" cm="1">
        <f t="array" ref="B26:H30">_xlfn.PIVOTBY(Data!A1:A13,Data!B1:B13,Data!C1:C13,_xleta.SUM,0)</f>
        <v/>
      </c>
      <c r="C26" t="str">
        <v>A</v>
      </c>
      <c r="D26" t="str">
        <v>B</v>
      </c>
      <c r="E26" t="str">
        <v>C</v>
      </c>
      <c r="F26" t="str">
        <v>Product</v>
      </c>
      <c r="G26">
        <v>0</v>
      </c>
      <c r="H26" t="str">
        <v>Total</v>
      </c>
    </row>
    <row r="27" spans="1:8">
      <c r="B27" t="str">
        <v>North</v>
      </c>
      <c r="C27">
        <v>130</v>
      </c>
      <c r="D27">
        <v>50</v>
      </c>
      <c r="E27">
        <v>70</v>
      </c>
      <c r="F27" t="str">
        <v/>
      </c>
      <c r="G27">
        <v>110</v>
      </c>
      <c r="H27">
        <v>360</v>
      </c>
    </row>
    <row r="28" spans="1:8">
      <c r="B28" t="str">
        <v>Region</v>
      </c>
      <c r="C28" t="str">
        <v/>
      </c>
      <c r="D28" t="str">
        <v/>
      </c>
      <c r="E28" t="str">
        <v/>
      </c>
      <c r="F28">
        <v>0</v>
      </c>
      <c r="G28" t="str">
        <v/>
      </c>
      <c r="H28">
        <v>0</v>
      </c>
    </row>
    <row r="29" spans="1:8">
      <c r="B29" t="str">
        <v>South</v>
      </c>
      <c r="C29">
        <v>60</v>
      </c>
      <c r="D29" t="e">
        <v>#N/A</v>
      </c>
      <c r="E29">
        <v>140</v>
      </c>
      <c r="F29" t="str">
        <v/>
      </c>
      <c r="G29" t="str">
        <v/>
      </c>
      <c r="H29" t="e">
        <v>#N/A</v>
      </c>
    </row>
    <row r="30" spans="1:8">
      <c r="B30" t="str">
        <v>Total</v>
      </c>
      <c r="C30">
        <v>190</v>
      </c>
      <c r="D30" t="e">
        <v>#N/A</v>
      </c>
      <c r="E30">
        <v>210</v>
      </c>
      <c r="F30">
        <v>0</v>
      </c>
      <c r="G30">
        <v>110</v>
      </c>
      <c r="H30" t="e">
        <v>#N/A</v>
      </c>
    </row>
    <row r="51" spans="1:7">
      <c r="A51" t="s">
        <v>49</v>
      </c>
      <c r="B51" t="str" cm="1">
        <f t="array" ref="B51:G54">_xlfn.PIVOTBY(Data!A1:A13,Data!B1:B13,Data!C1:C13,_xleta.SUM,1)</f>
        <v/>
      </c>
      <c r="C51" t="str">
        <v>A</v>
      </c>
      <c r="D51" t="str">
        <v>B</v>
      </c>
      <c r="E51" t="str">
        <v>C</v>
      </c>
      <c r="F51">
        <v>0</v>
      </c>
      <c r="G51" t="str">
        <v>Total</v>
      </c>
    </row>
    <row r="52" spans="1:7">
      <c r="B52" t="str">
        <v>North</v>
      </c>
      <c r="C52">
        <v>130</v>
      </c>
      <c r="D52">
        <v>50</v>
      </c>
      <c r="E52">
        <v>70</v>
      </c>
      <c r="F52">
        <v>110</v>
      </c>
      <c r="G52">
        <v>360</v>
      </c>
    </row>
    <row r="53" spans="1:7">
      <c r="B53" t="str">
        <v>South</v>
      </c>
      <c r="C53">
        <v>60</v>
      </c>
      <c r="D53" t="e">
        <v>#N/A</v>
      </c>
      <c r="E53">
        <v>140</v>
      </c>
      <c r="F53" t="str">
        <v/>
      </c>
      <c r="G53" t="e">
        <v>#N/A</v>
      </c>
    </row>
    <row r="54" spans="1:7">
      <c r="B54" t="str">
        <v>Total</v>
      </c>
      <c r="C54">
        <v>190</v>
      </c>
      <c r="D54" t="e">
        <v>#N/A</v>
      </c>
      <c r="E54">
        <v>210</v>
      </c>
      <c r="F54">
        <v>110</v>
      </c>
      <c r="G54" t="e">
        <v>#N/A</v>
      </c>
    </row>
    <row r="76" spans="1:8">
      <c r="A76" t="s">
        <v>50</v>
      </c>
      <c r="B76" t="str" cm="1">
        <f t="array" ref="B76:H82">_xlfn.PIVOTBY(Data!A1:A13,Data!B1:B13,Data!C1:C13,_xleta.SUM,2)</f>
        <v/>
      </c>
      <c r="C76" t="str">
        <v>Column Field 1</v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 spans="1:8">
      <c r="B77" t="str">
        <v/>
      </c>
      <c r="C77" t="str">
        <v>A</v>
      </c>
      <c r="D77" t="str">
        <v>B</v>
      </c>
      <c r="E77" t="str">
        <v>C</v>
      </c>
      <c r="F77" t="str">
        <v>Product</v>
      </c>
      <c r="G77">
        <v>0</v>
      </c>
      <c r="H77" t="str">
        <v>Total</v>
      </c>
    </row>
    <row r="78" spans="1:8">
      <c r="B78" t="str">
        <v>Row Field 1</v>
      </c>
      <c r="C78" t="str">
        <v>Value 1</v>
      </c>
      <c r="D78" t="str">
        <v>Value 1</v>
      </c>
      <c r="E78" t="str">
        <v>Value 1</v>
      </c>
      <c r="F78" t="str">
        <v>Value 1</v>
      </c>
      <c r="G78" t="str">
        <v>Value 1</v>
      </c>
      <c r="H78" t="str">
        <v>Value 1</v>
      </c>
    </row>
    <row r="79" spans="1:8">
      <c r="B79" t="str">
        <v>North</v>
      </c>
      <c r="C79">
        <v>130</v>
      </c>
      <c r="D79">
        <v>50</v>
      </c>
      <c r="E79">
        <v>70</v>
      </c>
      <c r="F79" t="str">
        <v/>
      </c>
      <c r="G79">
        <v>110</v>
      </c>
      <c r="H79">
        <v>360</v>
      </c>
    </row>
    <row r="80" spans="1:8">
      <c r="B80" t="str">
        <v>Region</v>
      </c>
      <c r="C80" t="str">
        <v/>
      </c>
      <c r="D80" t="str">
        <v/>
      </c>
      <c r="E80" t="str">
        <v/>
      </c>
      <c r="F80">
        <v>0</v>
      </c>
      <c r="G80" t="str">
        <v/>
      </c>
      <c r="H80">
        <v>0</v>
      </c>
    </row>
    <row r="81" spans="2:8">
      <c r="B81" t="str">
        <v>South</v>
      </c>
      <c r="C81">
        <v>60</v>
      </c>
      <c r="D81" t="e">
        <v>#N/A</v>
      </c>
      <c r="E81">
        <v>140</v>
      </c>
      <c r="F81" t="str">
        <v/>
      </c>
      <c r="G81" t="str">
        <v/>
      </c>
      <c r="H81" t="e">
        <v>#N/A</v>
      </c>
    </row>
    <row r="82" spans="2:8">
      <c r="B82" t="str">
        <v>Total</v>
      </c>
      <c r="C82">
        <v>190</v>
      </c>
      <c r="D82" t="e">
        <v>#N/A</v>
      </c>
      <c r="E82">
        <v>210</v>
      </c>
      <c r="F82">
        <v>0</v>
      </c>
      <c r="G82">
        <v>110</v>
      </c>
      <c r="H82" t="e">
        <v>#N/A</v>
      </c>
    </row>
    <row r="101" spans="1:7">
      <c r="A101" t="s">
        <v>51</v>
      </c>
      <c r="B101" t="str" cm="1">
        <f t="array" ref="B101:G106">_xlfn.PIVOTBY(Data!A1:A13,Data!B1:B13,Data!C1:C13,_xleta.SUM,3)</f>
        <v/>
      </c>
      <c r="C101" t="str">
        <v>Product</v>
      </c>
      <c r="D101" t="str">
        <v/>
      </c>
      <c r="E101" t="str">
        <v/>
      </c>
      <c r="F101" t="str">
        <v/>
      </c>
      <c r="G101" t="str">
        <v/>
      </c>
    </row>
    <row r="102" spans="1:7">
      <c r="B102" t="str">
        <v/>
      </c>
      <c r="C102" t="str">
        <v>A</v>
      </c>
      <c r="D102" t="str">
        <v>B</v>
      </c>
      <c r="E102" t="str">
        <v>C</v>
      </c>
      <c r="F102">
        <v>0</v>
      </c>
      <c r="G102" t="str">
        <v>Total</v>
      </c>
    </row>
    <row r="103" spans="1:7">
      <c r="B103" t="str">
        <v>Region</v>
      </c>
      <c r="C103" t="str">
        <v>Units</v>
      </c>
      <c r="D103" t="str">
        <v>Units</v>
      </c>
      <c r="E103" t="str">
        <v>Units</v>
      </c>
      <c r="F103" t="str">
        <v>Units</v>
      </c>
      <c r="G103" t="str">
        <v>Units</v>
      </c>
    </row>
    <row r="104" spans="1:7">
      <c r="B104" t="str">
        <v>North</v>
      </c>
      <c r="C104">
        <v>130</v>
      </c>
      <c r="D104">
        <v>50</v>
      </c>
      <c r="E104">
        <v>70</v>
      </c>
      <c r="F104">
        <v>110</v>
      </c>
      <c r="G104">
        <v>360</v>
      </c>
    </row>
    <row r="105" spans="1:7">
      <c r="B105" t="str">
        <v>South</v>
      </c>
      <c r="C105">
        <v>60</v>
      </c>
      <c r="D105" t="e">
        <v>#N/A</v>
      </c>
      <c r="E105">
        <v>140</v>
      </c>
      <c r="F105" t="str">
        <v/>
      </c>
      <c r="G105" t="e">
        <v>#N/A</v>
      </c>
    </row>
    <row r="106" spans="1:7">
      <c r="B106" t="str">
        <v>Total</v>
      </c>
      <c r="C106">
        <v>190</v>
      </c>
      <c r="D106" t="e">
        <v>#N/A</v>
      </c>
      <c r="E106">
        <v>210</v>
      </c>
      <c r="F106">
        <v>110</v>
      </c>
      <c r="G106" t="e">
        <v>#N/A</v>
      </c>
    </row>
    <row r="126" spans="1:7">
      <c r="A126" t="s">
        <v>52</v>
      </c>
      <c r="B126" t="str" cm="1">
        <f t="array" ref="B126:G128">_xlfn.PIVOTBY(Data!A2:A13,Data!B2:B13,Data!D2:D13,_xleta.SUM,0,0)</f>
        <v/>
      </c>
      <c r="C126" t="str">
        <v>A</v>
      </c>
      <c r="D126" t="str">
        <v>B</v>
      </c>
      <c r="E126" t="str">
        <v>C</v>
      </c>
      <c r="F126">
        <v>0</v>
      </c>
      <c r="G126" t="str">
        <v>Total</v>
      </c>
    </row>
    <row r="127" spans="1:7">
      <c r="B127" t="str">
        <v>North</v>
      </c>
      <c r="C127">
        <v>4.5</v>
      </c>
      <c r="D127">
        <v>2.25</v>
      </c>
      <c r="E127">
        <v>3</v>
      </c>
      <c r="F127">
        <v>1.5</v>
      </c>
      <c r="G127">
        <v>11.25</v>
      </c>
    </row>
    <row r="128" spans="1:7">
      <c r="B128" t="str">
        <v>South</v>
      </c>
      <c r="C128">
        <v>1.5</v>
      </c>
      <c r="D128">
        <v>6.75</v>
      </c>
      <c r="E128">
        <v>6</v>
      </c>
      <c r="F128" t="str">
        <v/>
      </c>
      <c r="G128">
        <v>14.25</v>
      </c>
    </row>
    <row r="151" spans="1:7">
      <c r="A151" t="s">
        <v>53</v>
      </c>
      <c r="B151" t="str" cm="1">
        <f t="array" ref="B151:G154">_xlfn.PIVOTBY(Data!A2:A13,Data!B2:B13,Data!D2:D13,_xleta.SUM,0,-1)</f>
        <v/>
      </c>
      <c r="C151" t="str">
        <v>A</v>
      </c>
      <c r="D151" t="str">
        <v>B</v>
      </c>
      <c r="E151" t="str">
        <v>C</v>
      </c>
      <c r="F151">
        <v>0</v>
      </c>
      <c r="G151" t="str">
        <v>Total</v>
      </c>
    </row>
    <row r="152" spans="1:7">
      <c r="B152" t="str">
        <v>Total</v>
      </c>
      <c r="C152">
        <v>6</v>
      </c>
      <c r="D152">
        <v>9</v>
      </c>
      <c r="E152">
        <v>9</v>
      </c>
      <c r="F152">
        <v>1.5</v>
      </c>
      <c r="G152">
        <v>25.5</v>
      </c>
    </row>
    <row r="153" spans="1:7">
      <c r="B153" t="str">
        <v>North</v>
      </c>
      <c r="C153">
        <v>4.5</v>
      </c>
      <c r="D153">
        <v>2.25</v>
      </c>
      <c r="E153">
        <v>3</v>
      </c>
      <c r="F153">
        <v>1.5</v>
      </c>
      <c r="G153">
        <v>11.25</v>
      </c>
    </row>
    <row r="154" spans="1:7">
      <c r="B154" t="str">
        <v>South</v>
      </c>
      <c r="C154">
        <v>1.5</v>
      </c>
      <c r="D154">
        <v>6.75</v>
      </c>
      <c r="E154">
        <v>6</v>
      </c>
      <c r="F154" t="str">
        <v/>
      </c>
      <c r="G154">
        <v>14.25</v>
      </c>
    </row>
    <row r="176" spans="1:2">
      <c r="A176" t="s">
        <v>54</v>
      </c>
      <c r="B176" t="e" cm="1" vm="1">
        <f t="array" ref="B176">_xlfn.PIVOTBY(Data!A2:A13,Data!B2:B13,Data!D2:D13,_xleta.SUM,0,2)</f>
        <v>#VALUE!</v>
      </c>
    </row>
    <row r="201" spans="1:6">
      <c r="A201" t="s">
        <v>55</v>
      </c>
      <c r="B201" t="str" cm="1">
        <f t="array" ref="B201:F204">_xlfn.PIVOTBY(Data!A2:A13,Data!B2:B13,Data!D2:D13,_xleta.SUM,0,1,,0)</f>
        <v/>
      </c>
      <c r="C201" t="str">
        <v>A</v>
      </c>
      <c r="D201" t="str">
        <v>B</v>
      </c>
      <c r="E201" t="str">
        <v>C</v>
      </c>
      <c r="F201">
        <v>0</v>
      </c>
    </row>
    <row r="202" spans="1:6">
      <c r="B202" t="str">
        <v>North</v>
      </c>
      <c r="C202">
        <v>4.5</v>
      </c>
      <c r="D202">
        <v>2.25</v>
      </c>
      <c r="E202">
        <v>3</v>
      </c>
      <c r="F202">
        <v>1.5</v>
      </c>
    </row>
    <row r="203" spans="1:6">
      <c r="B203" t="str">
        <v>South</v>
      </c>
      <c r="C203">
        <v>1.5</v>
      </c>
      <c r="D203">
        <v>6.75</v>
      </c>
      <c r="E203">
        <v>6</v>
      </c>
      <c r="F203" t="str">
        <v/>
      </c>
    </row>
    <row r="204" spans="1:6">
      <c r="B204" t="str">
        <v>Total</v>
      </c>
      <c r="C204">
        <v>6</v>
      </c>
      <c r="D204">
        <v>9</v>
      </c>
      <c r="E204">
        <v>9</v>
      </c>
      <c r="F204">
        <v>1.5</v>
      </c>
    </row>
    <row r="226" spans="1:7">
      <c r="A226" t="s">
        <v>56</v>
      </c>
      <c r="B226" t="str" cm="1">
        <f t="array" ref="B226:G229">_xlfn.PIVOTBY(Data!A2:A13,Data!B2:B13,Data!D2:D13,_xleta.SUM,0,1,,-1)</f>
        <v/>
      </c>
      <c r="C226" t="str">
        <v>Total</v>
      </c>
      <c r="D226" t="str">
        <v>A</v>
      </c>
      <c r="E226" t="str">
        <v>B</v>
      </c>
      <c r="F226" t="str">
        <v>C</v>
      </c>
      <c r="G226">
        <v>0</v>
      </c>
    </row>
    <row r="227" spans="1:7">
      <c r="B227" t="str">
        <v>North</v>
      </c>
      <c r="C227">
        <v>11.25</v>
      </c>
      <c r="D227">
        <v>4.5</v>
      </c>
      <c r="E227">
        <v>2.25</v>
      </c>
      <c r="F227">
        <v>3</v>
      </c>
      <c r="G227">
        <v>1.5</v>
      </c>
    </row>
    <row r="228" spans="1:7">
      <c r="B228" t="str">
        <v>South</v>
      </c>
      <c r="C228">
        <v>14.25</v>
      </c>
      <c r="D228">
        <v>1.5</v>
      </c>
      <c r="E228">
        <v>6.75</v>
      </c>
      <c r="F228">
        <v>6</v>
      </c>
      <c r="G228" t="str">
        <v/>
      </c>
    </row>
    <row r="229" spans="1:7">
      <c r="B229" t="str">
        <v>Total</v>
      </c>
      <c r="C229">
        <v>25.5</v>
      </c>
      <c r="D229">
        <v>6</v>
      </c>
      <c r="E229">
        <v>9</v>
      </c>
      <c r="F229">
        <v>9</v>
      </c>
      <c r="G229">
        <v>1.5</v>
      </c>
    </row>
    <row r="251" spans="1:7">
      <c r="A251" t="s">
        <v>57</v>
      </c>
      <c r="B251" t="str" cm="1">
        <f t="array" ref="B251:G254">_xlfn.PIVOTBY(Data!A2:A13,Data!B2:B13,Data!D2:D13,_xleta.SUM,0,1,-1)</f>
        <v/>
      </c>
      <c r="C251" t="str">
        <v>A</v>
      </c>
      <c r="D251" t="str">
        <v>B</v>
      </c>
      <c r="E251" t="str">
        <v>C</v>
      </c>
      <c r="F251">
        <v>0</v>
      </c>
      <c r="G251" t="str">
        <v>Total</v>
      </c>
    </row>
    <row r="252" spans="1:7">
      <c r="B252" t="str">
        <v>South</v>
      </c>
      <c r="C252">
        <v>1.5</v>
      </c>
      <c r="D252">
        <v>6.75</v>
      </c>
      <c r="E252">
        <v>6</v>
      </c>
      <c r="F252" t="str">
        <v/>
      </c>
      <c r="G252">
        <v>14.25</v>
      </c>
    </row>
    <row r="253" spans="1:7">
      <c r="B253" t="str">
        <v>North</v>
      </c>
      <c r="C253">
        <v>4.5</v>
      </c>
      <c r="D253">
        <v>2.25</v>
      </c>
      <c r="E253">
        <v>3</v>
      </c>
      <c r="F253">
        <v>1.5</v>
      </c>
      <c r="G253">
        <v>11.25</v>
      </c>
    </row>
    <row r="254" spans="1:7">
      <c r="B254" t="str">
        <v>Total</v>
      </c>
      <c r="C254">
        <v>6</v>
      </c>
      <c r="D254">
        <v>9</v>
      </c>
      <c r="E254">
        <v>9</v>
      </c>
      <c r="F254">
        <v>1.5</v>
      </c>
      <c r="G254">
        <v>25.5</v>
      </c>
    </row>
    <row r="276" spans="1:7">
      <c r="A276" t="s">
        <v>58</v>
      </c>
      <c r="B276" t="str" cm="1">
        <f t="array" ref="B276:G279">_xlfn.PIVOTBY(Data!A2:A13,Data!B2:B13,Data!D2:D13,_xleta.SUM,0,1,1,1,-1)</f>
        <v/>
      </c>
      <c r="C276" t="str">
        <v>C</v>
      </c>
      <c r="D276" t="str">
        <v>B</v>
      </c>
      <c r="E276" t="str">
        <v>A</v>
      </c>
      <c r="F276">
        <v>0</v>
      </c>
      <c r="G276" t="str">
        <v>Total</v>
      </c>
    </row>
    <row r="277" spans="1:7">
      <c r="B277" t="str">
        <v>North</v>
      </c>
      <c r="C277">
        <v>3</v>
      </c>
      <c r="D277">
        <v>2.25</v>
      </c>
      <c r="E277">
        <v>4.5</v>
      </c>
      <c r="F277">
        <v>1.5</v>
      </c>
      <c r="G277">
        <v>11.25</v>
      </c>
    </row>
    <row r="278" spans="1:7">
      <c r="B278" t="str">
        <v>South</v>
      </c>
      <c r="C278">
        <v>6</v>
      </c>
      <c r="D278">
        <v>6.75</v>
      </c>
      <c r="E278">
        <v>1.5</v>
      </c>
      <c r="F278" t="str">
        <v/>
      </c>
      <c r="G278">
        <v>14.25</v>
      </c>
    </row>
    <row r="279" spans="1:7">
      <c r="B279" t="str">
        <v>Total</v>
      </c>
      <c r="C279">
        <v>9</v>
      </c>
      <c r="D279">
        <v>9</v>
      </c>
      <c r="E279">
        <v>6</v>
      </c>
      <c r="F279">
        <v>1.5</v>
      </c>
      <c r="G279">
        <v>25.5</v>
      </c>
    </row>
    <row r="301" spans="1:7">
      <c r="A301" t="s">
        <v>59</v>
      </c>
      <c r="B301" t="str" cm="1">
        <f t="array" ref="B301:G304">_xlfn.PIVOTBY(Data!A2:A13,Data!B2:B13,Data!D2:D13,_xleta.PERCENTOF,0,1,1,1,1,,0)</f>
        <v/>
      </c>
      <c r="C301" t="str">
        <v>A</v>
      </c>
      <c r="D301" t="str">
        <v>B</v>
      </c>
      <c r="E301" t="str">
        <v>C</v>
      </c>
      <c r="F301">
        <v>0</v>
      </c>
      <c r="G301" t="str">
        <v>Total</v>
      </c>
    </row>
    <row r="302" spans="1:7">
      <c r="B302" t="str">
        <v>North</v>
      </c>
      <c r="C302">
        <v>0.75</v>
      </c>
      <c r="D302">
        <v>0.25</v>
      </c>
      <c r="E302">
        <v>0.33333333333333331</v>
      </c>
      <c r="F302">
        <v>1</v>
      </c>
      <c r="G302">
        <v>0.44117647058823528</v>
      </c>
    </row>
    <row r="303" spans="1:7">
      <c r="B303" t="str">
        <v>South</v>
      </c>
      <c r="C303">
        <v>0.25</v>
      </c>
      <c r="D303">
        <v>0.75</v>
      </c>
      <c r="E303">
        <v>0.66666666666666663</v>
      </c>
      <c r="F303" t="str">
        <v/>
      </c>
      <c r="G303">
        <v>0.55882352941176472</v>
      </c>
    </row>
    <row r="304" spans="1:7">
      <c r="B304" t="str">
        <v>Total</v>
      </c>
      <c r="C304">
        <v>1</v>
      </c>
      <c r="D304">
        <v>1</v>
      </c>
      <c r="E304">
        <v>1</v>
      </c>
      <c r="F304">
        <v>1</v>
      </c>
      <c r="G304">
        <v>1</v>
      </c>
    </row>
    <row r="326" spans="1:7">
      <c r="A326" t="s">
        <v>60</v>
      </c>
      <c r="B326" t="str" cm="1">
        <f t="array" ref="B326:G329">_xlfn.PIVOTBY(Data!A2:A13,Data!B2:B13,Data!D2:D13,_xleta.PERCENTOF,0,1,1,1,1,,1)</f>
        <v/>
      </c>
      <c r="C326" t="str">
        <v>A</v>
      </c>
      <c r="D326" t="str">
        <v>B</v>
      </c>
      <c r="E326" t="str">
        <v>C</v>
      </c>
      <c r="F326">
        <v>0</v>
      </c>
      <c r="G326" t="str">
        <v>Total</v>
      </c>
    </row>
    <row r="327" spans="1:7">
      <c r="B327" t="str">
        <v>North</v>
      </c>
      <c r="C327">
        <v>0.4</v>
      </c>
      <c r="D327">
        <v>0.2</v>
      </c>
      <c r="E327">
        <v>0.26666666666666666</v>
      </c>
      <c r="F327">
        <v>0.13333333333333333</v>
      </c>
      <c r="G327">
        <v>1</v>
      </c>
    </row>
    <row r="328" spans="1:7">
      <c r="B328" t="str">
        <v>South</v>
      </c>
      <c r="C328">
        <v>0.10526315789473684</v>
      </c>
      <c r="D328">
        <v>0.47368421052631576</v>
      </c>
      <c r="E328">
        <v>0.42105263157894735</v>
      </c>
      <c r="F328" t="str">
        <v/>
      </c>
      <c r="G328">
        <v>1</v>
      </c>
    </row>
    <row r="329" spans="1:7">
      <c r="B329" t="str">
        <v>Total</v>
      </c>
      <c r="C329">
        <v>0.23529411764705882</v>
      </c>
      <c r="D329">
        <v>0.35294117647058826</v>
      </c>
      <c r="E329">
        <v>0.35294117647058826</v>
      </c>
      <c r="F329">
        <v>5.8823529411764705E-2</v>
      </c>
      <c r="G329">
        <v>1</v>
      </c>
    </row>
    <row r="351" spans="1:7">
      <c r="A351" t="s">
        <v>61</v>
      </c>
      <c r="B351" t="str" cm="1">
        <f t="array" ref="B351:G354">_xlfn.PIVOTBY(Data!A2:A13,Data!B2:B13,Data!D2:D13,_xleta.PERCENTOF,0,1,1,1,1,,2)</f>
        <v/>
      </c>
      <c r="C351" t="str">
        <v>A</v>
      </c>
      <c r="D351" t="str">
        <v>B</v>
      </c>
      <c r="E351" t="str">
        <v>C</v>
      </c>
      <c r="F351">
        <v>0</v>
      </c>
      <c r="G351" t="str">
        <v>Total</v>
      </c>
    </row>
    <row r="352" spans="1:7">
      <c r="B352" t="str">
        <v>North</v>
      </c>
      <c r="C352">
        <v>0.17647058823529413</v>
      </c>
      <c r="D352">
        <v>8.8235294117647065E-2</v>
      </c>
      <c r="E352">
        <v>0.11764705882352941</v>
      </c>
      <c r="F352">
        <v>5.8823529411764705E-2</v>
      </c>
      <c r="G352">
        <v>0.44117647058823528</v>
      </c>
    </row>
    <row r="353" spans="2:7">
      <c r="B353" t="str">
        <v>South</v>
      </c>
      <c r="C353">
        <v>5.8823529411764705E-2</v>
      </c>
      <c r="D353">
        <v>0.26470588235294118</v>
      </c>
      <c r="E353">
        <v>0.23529411764705882</v>
      </c>
      <c r="F353" t="str">
        <v/>
      </c>
      <c r="G353">
        <v>0.55882352941176472</v>
      </c>
    </row>
    <row r="354" spans="2:7">
      <c r="B354" t="str">
        <v>Total</v>
      </c>
      <c r="C354">
        <v>0.23529411764705882</v>
      </c>
      <c r="D354">
        <v>0.35294117647058826</v>
      </c>
      <c r="E354">
        <v>0.35294117647058826</v>
      </c>
      <c r="F354">
        <v>5.8823529411764705E-2</v>
      </c>
      <c r="G354">
        <v>1</v>
      </c>
    </row>
    <row r="376" spans="1:7">
      <c r="A376" t="s">
        <v>62</v>
      </c>
      <c r="B376" t="str" cm="1">
        <f t="array" ref="B376:G379">_xlfn.PIVOTBY(Data!A2:A13,Data!B2:B13,Data!D2:D13,_xleta.PERCENTOF,0,1,1,1,1,,3)</f>
        <v/>
      </c>
      <c r="C376" t="str">
        <v>A</v>
      </c>
      <c r="D376" t="str">
        <v>B</v>
      </c>
      <c r="E376" t="str">
        <v>C</v>
      </c>
      <c r="F376">
        <v>0</v>
      </c>
      <c r="G376" t="str">
        <v>Total</v>
      </c>
    </row>
    <row r="377" spans="1:7">
      <c r="B377" t="str">
        <v>North</v>
      </c>
      <c r="C377">
        <v>0.4</v>
      </c>
      <c r="D377">
        <v>0.2</v>
      </c>
      <c r="E377">
        <v>0.26666666666666666</v>
      </c>
      <c r="F377">
        <v>0.13333333333333333</v>
      </c>
      <c r="G377">
        <v>1</v>
      </c>
    </row>
    <row r="378" spans="1:7">
      <c r="B378" t="str">
        <v>South</v>
      </c>
      <c r="C378">
        <v>0.10526315789473684</v>
      </c>
      <c r="D378">
        <v>0.47368421052631576</v>
      </c>
      <c r="E378">
        <v>0.42105263157894735</v>
      </c>
      <c r="F378" t="str">
        <v/>
      </c>
      <c r="G378">
        <v>1</v>
      </c>
    </row>
    <row r="379" spans="1:7">
      <c r="B379" t="str">
        <v>Total</v>
      </c>
      <c r="C379">
        <v>0.23529411764705882</v>
      </c>
      <c r="D379">
        <v>0.35294117647058826</v>
      </c>
      <c r="E379">
        <v>0.35294117647058826</v>
      </c>
      <c r="F379">
        <v>5.8823529411764705E-2</v>
      </c>
      <c r="G379">
        <v>1</v>
      </c>
    </row>
    <row r="401" spans="1:7">
      <c r="A401" t="s">
        <v>63</v>
      </c>
      <c r="B401" t="str" cm="1">
        <f t="array" ref="B401:G404">_xlfn.PIVOTBY(Data!A2:A13,Data!B2:B13,Data!D2:D13,_xleta.PERCENTOF,0,1,1,1,1,,4)</f>
        <v/>
      </c>
      <c r="C401" t="str">
        <v>A</v>
      </c>
      <c r="D401" t="str">
        <v>B</v>
      </c>
      <c r="E401" t="str">
        <v>C</v>
      </c>
      <c r="F401">
        <v>0</v>
      </c>
      <c r="G401" t="str">
        <v>Total</v>
      </c>
    </row>
    <row r="402" spans="1:7">
      <c r="B402" t="str">
        <v>North</v>
      </c>
      <c r="C402">
        <v>0.75</v>
      </c>
      <c r="D402">
        <v>0.25</v>
      </c>
      <c r="E402">
        <v>0.33333333333333331</v>
      </c>
      <c r="F402">
        <v>1</v>
      </c>
      <c r="G402">
        <v>0.44117647058823528</v>
      </c>
    </row>
    <row r="403" spans="1:7">
      <c r="B403" t="str">
        <v>South</v>
      </c>
      <c r="C403">
        <v>0.25</v>
      </c>
      <c r="D403">
        <v>0.75</v>
      </c>
      <c r="E403">
        <v>0.66666666666666663</v>
      </c>
      <c r="F403" t="str">
        <v/>
      </c>
      <c r="G403">
        <v>0.55882352941176472</v>
      </c>
    </row>
    <row r="404" spans="1:7">
      <c r="B404" t="str">
        <v>Total</v>
      </c>
      <c r="C404">
        <v>1</v>
      </c>
      <c r="D404">
        <v>1</v>
      </c>
      <c r="E404">
        <v>1</v>
      </c>
      <c r="F404">
        <v>1</v>
      </c>
      <c r="G404">
        <v>1</v>
      </c>
    </row>
    <row r="426" spans="1:7">
      <c r="A426" t="s">
        <v>64</v>
      </c>
      <c r="B426" t="str" cm="1">
        <f t="array" ref="B426:G428">_xlfn.PIVOTBY(Data!A2:A13,Data!B2:B13,Data!D2:D13,_xleta.SUM,0,1,1,1,1,Data!A2:A13="North")</f>
        <v/>
      </c>
      <c r="C426" t="str">
        <v>A</v>
      </c>
      <c r="D426" t="str">
        <v>B</v>
      </c>
      <c r="E426" t="str">
        <v>C</v>
      </c>
      <c r="F426">
        <v>0</v>
      </c>
      <c r="G426" t="str">
        <v>Total</v>
      </c>
    </row>
    <row r="427" spans="1:7">
      <c r="B427" t="str">
        <v>North</v>
      </c>
      <c r="C427">
        <v>4.5</v>
      </c>
      <c r="D427">
        <v>2.25</v>
      </c>
      <c r="E427">
        <v>3</v>
      </c>
      <c r="F427">
        <v>1.5</v>
      </c>
      <c r="G427">
        <v>11.25</v>
      </c>
    </row>
    <row r="428" spans="1:7">
      <c r="B428" t="str">
        <v>Total</v>
      </c>
      <c r="C428">
        <v>4.5</v>
      </c>
      <c r="D428">
        <v>2.25</v>
      </c>
      <c r="E428">
        <v>3</v>
      </c>
      <c r="F428">
        <v>1.5</v>
      </c>
      <c r="G428">
        <v>11.25</v>
      </c>
    </row>
    <row r="451" spans="1:2">
      <c r="A451" t="s">
        <v>65</v>
      </c>
      <c r="B451" t="e" cm="1">
        <f t="array" ref="B451">_xlfn.PIVOTBY(Data!A2:A13,Data!B2:B13,Data!C2:D13,_xleta.SUM)</f>
        <v>#VALUE!</v>
      </c>
    </row>
    <row r="476" spans="1:6">
      <c r="A476" t="s">
        <v>66</v>
      </c>
      <c r="B476" t="str" cm="1">
        <f t="array" ref="B476:F484">_xlfn.PIVOTBY(Data!A2:B13,Data!A2:A13,Data!D2:D13,_xleta.SUM)</f>
        <v/>
      </c>
      <c r="C476" t="str">
        <v/>
      </c>
      <c r="D476" t="str">
        <v>North</v>
      </c>
      <c r="E476" t="str">
        <v>South</v>
      </c>
      <c r="F476" t="str">
        <v>Total</v>
      </c>
    </row>
    <row r="477" spans="1:6">
      <c r="B477" t="str">
        <v>North</v>
      </c>
      <c r="C477" t="str">
        <v>A</v>
      </c>
      <c r="D477">
        <v>4.5</v>
      </c>
      <c r="E477" t="str">
        <v/>
      </c>
      <c r="F477">
        <v>4.5</v>
      </c>
    </row>
    <row r="478" spans="1:6">
      <c r="B478" t="str">
        <v>North</v>
      </c>
      <c r="C478" t="str">
        <v>B</v>
      </c>
      <c r="D478">
        <v>2.25</v>
      </c>
      <c r="E478" t="str">
        <v/>
      </c>
      <c r="F478">
        <v>2.25</v>
      </c>
    </row>
    <row r="479" spans="1:6">
      <c r="B479" t="str">
        <v>North</v>
      </c>
      <c r="C479" t="str">
        <v>C</v>
      </c>
      <c r="D479">
        <v>3</v>
      </c>
      <c r="E479" t="str">
        <v/>
      </c>
      <c r="F479">
        <v>3</v>
      </c>
    </row>
    <row r="480" spans="1:6">
      <c r="B480" t="str">
        <v>North</v>
      </c>
      <c r="C480">
        <v>0</v>
      </c>
      <c r="D480">
        <v>1.5</v>
      </c>
      <c r="E480" t="str">
        <v/>
      </c>
      <c r="F480">
        <v>1.5</v>
      </c>
    </row>
    <row r="481" spans="2:6">
      <c r="B481" t="str">
        <v>South</v>
      </c>
      <c r="C481" t="str">
        <v>A</v>
      </c>
      <c r="D481" t="str">
        <v/>
      </c>
      <c r="E481">
        <v>1.5</v>
      </c>
      <c r="F481">
        <v>1.5</v>
      </c>
    </row>
    <row r="482" spans="2:6">
      <c r="B482" t="str">
        <v>South</v>
      </c>
      <c r="C482" t="str">
        <v>B</v>
      </c>
      <c r="D482" t="str">
        <v/>
      </c>
      <c r="E482">
        <v>6.75</v>
      </c>
      <c r="F482">
        <v>6.75</v>
      </c>
    </row>
    <row r="483" spans="2:6">
      <c r="B483" t="str">
        <v>South</v>
      </c>
      <c r="C483" t="str">
        <v>C</v>
      </c>
      <c r="D483" t="str">
        <v/>
      </c>
      <c r="E483">
        <v>6</v>
      </c>
      <c r="F483">
        <v>6</v>
      </c>
    </row>
    <row r="484" spans="2:6">
      <c r="B484" t="str">
        <v>Total</v>
      </c>
      <c r="C484" t="str">
        <v/>
      </c>
      <c r="D484">
        <v>11.25</v>
      </c>
      <c r="E484">
        <v>14.25</v>
      </c>
      <c r="F484">
        <v>25.5</v>
      </c>
    </row>
    <row r="501" spans="1:7">
      <c r="A501" t="s">
        <v>67</v>
      </c>
      <c r="B501" t="str" cm="1">
        <f t="array" ref="B501:G504">_xlfn.PIVOTBY(Data!A2:A13,Data!B2:B13,Data!D2:D13,_xleta.AVERAGE)</f>
        <v/>
      </c>
      <c r="C501" t="str">
        <v>A</v>
      </c>
      <c r="D501" t="str">
        <v>B</v>
      </c>
      <c r="E501" t="str">
        <v>C</v>
      </c>
      <c r="F501">
        <v>0</v>
      </c>
      <c r="G501" t="str">
        <v>Total</v>
      </c>
    </row>
    <row r="502" spans="1:7">
      <c r="B502" t="str">
        <v>North</v>
      </c>
      <c r="C502">
        <v>1.5</v>
      </c>
      <c r="D502">
        <v>2.25</v>
      </c>
      <c r="E502">
        <v>3</v>
      </c>
      <c r="F502">
        <v>1.5</v>
      </c>
      <c r="G502">
        <v>1.875</v>
      </c>
    </row>
    <row r="503" spans="1:7">
      <c r="B503" t="str">
        <v>South</v>
      </c>
      <c r="C503">
        <v>1.5</v>
      </c>
      <c r="D503">
        <v>2.25</v>
      </c>
      <c r="E503">
        <v>3</v>
      </c>
      <c r="F503" t="str">
        <v/>
      </c>
      <c r="G503">
        <v>2.375</v>
      </c>
    </row>
    <row r="504" spans="1:7">
      <c r="B504" t="str">
        <v>Total</v>
      </c>
      <c r="C504">
        <v>1.5</v>
      </c>
      <c r="D504">
        <v>2.25</v>
      </c>
      <c r="E504">
        <v>3</v>
      </c>
      <c r="F504">
        <v>1.5</v>
      </c>
      <c r="G504">
        <v>2.125</v>
      </c>
    </row>
    <row r="526" spans="1:2">
      <c r="A526" t="s">
        <v>68</v>
      </c>
      <c r="B526" t="e" cm="1" vm="3">
        <f t="array" ref="B526">_xlfn.PIVOTBY(Data!A2:A13,Data!B2:B12,Data!D2:D13,_xleta.SUM)</f>
        <v>#VALUE!</v>
      </c>
    </row>
    <row r="551" spans="1:2">
      <c r="A551" t="s">
        <v>69</v>
      </c>
      <c r="B551" t="e" cm="1">
        <f t="array" ref="B551">_xlfn.PIVOTBY(Data!A2:A13,Data!B2:B13,Data!D2:D13,_xleta.SUM,0,1,1,1,1,,9)</f>
        <v>#VALUE!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6"/>
  <sheetViews>
    <sheetView zoomScaleNormal="100" zoomScaleSheetLayoutView="100" workbookViewId="0"/>
  </sheetViews>
  <sheetFormatPr defaultRowHeight="15"/>
  <sheetData>
    <row r="1" spans="1:2">
      <c r="A1" t="s">
        <v>70</v>
      </c>
      <c r="B1" cm="1">
        <f t="array" ref="B1">_xlfn.PERCENTOF(Data!D2:D7,Data!D2:D13)</f>
        <v>0.47058823529411764</v>
      </c>
    </row>
    <row r="26" spans="1:2">
      <c r="A26" t="s">
        <v>71</v>
      </c>
      <c r="B26" t="e" cm="1">
        <f t="array" ref="B26">_xlfn.PERCENTOF(Data!C2:C13,Data!C2:C13)</f>
        <v>#NUM!</v>
      </c>
    </row>
    <row r="51" spans="1:2">
      <c r="A51" t="s">
        <v>72</v>
      </c>
      <c r="B51" cm="1">
        <f t="array" ref="B51">_xlfn.PERCENTOF(Data!B2:B4,Data!D2:D4)</f>
        <v>0</v>
      </c>
    </row>
    <row r="76" spans="1:2">
      <c r="A76" t="s">
        <v>73</v>
      </c>
      <c r="B76" t="e" cm="1">
        <f t="array" ref="B76">_xlfn.PERCENTOF({1,2},{0,0})</f>
        <v>#DIV/0!</v>
      </c>
    </row>
    <row r="101" spans="1:2">
      <c r="A101" t="s">
        <v>74</v>
      </c>
      <c r="B101" cm="1">
        <f t="array" ref="B101">_xlfn.PERCENTOF(5,10)</f>
        <v>0.5</v>
      </c>
    </row>
    <row r="126" spans="1:2">
      <c r="A126" t="s">
        <v>75</v>
      </c>
      <c r="B126" cm="1">
        <f t="array" ref="B126">_xlfn.PERCENTOF(Data!D2:D7,Data!C2:C11)</f>
        <v>2.181818181818182E-2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2026-10-10T21:03:35Z</dcterms:created>
  <dcterms:modified xsi:type="dcterms:W3CDTF">2026-10-10T21:03:35Z</dcterms:modified>
  <cp:category/>
  <cp:contentStatus/>
</cp:coreProperties>
</file>