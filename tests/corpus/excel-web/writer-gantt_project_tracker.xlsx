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final/"/>
    </mc:Choice>
  </mc:AlternateContent>
  <xr:revisionPtr revIDLastSave="0" documentId="8_{24543370-132C-4BB9-BD3F-5A02742EF2BA}" xr6:coauthVersionLast="47" xr6:coauthVersionMax="47" xr10:uidLastSave="{00000000-0000-0000-0000-000000000000}"/>
  <bookViews>
    <workbookView xWindow="2540" yWindow="-23180" windowWidth="36480" windowHeight="22340" xr2:uid="{36865C9A-5A1B-4545-8166-C2A6829DD507}"/>
  </bookViews>
  <sheets>
    <sheet name="Plan" sheetId="1" r:id="rId1"/>
    <sheet name="Tasks" sheetId="2" r:id="rId2"/>
    <sheet name="Settings" sheetId="3" r:id="rId3"/>
    <sheet name="METADATA" sheetId="4" state="hidden" r:id="rId4"/>
    <sheet name="SharpCell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5" l="1" a="1"/>
  <c r="A2" i="5"/>
  <c r="B2" i="4"/>
  <c r="B8" i="3"/>
  <c r="E6" i="2"/>
  <c r="H25" i="1"/>
  <c r="F25" i="1"/>
  <c r="D25" i="1"/>
  <c r="C25" i="1"/>
  <c r="B25" i="1"/>
  <c r="A25" i="1"/>
  <c r="H24" i="1"/>
  <c r="F24" i="1"/>
  <c r="D24" i="1"/>
  <c r="C24" i="1"/>
  <c r="B24" i="1"/>
  <c r="A24" i="1"/>
  <c r="H23" i="1"/>
  <c r="F23" i="1"/>
  <c r="D23" i="1"/>
  <c r="C23" i="1"/>
  <c r="B23" i="1"/>
  <c r="A23" i="1"/>
  <c r="H22" i="1"/>
  <c r="F22" i="1"/>
  <c r="D22" i="1"/>
  <c r="C22" i="1"/>
  <c r="B22" i="1"/>
  <c r="A22" i="1"/>
  <c r="H21" i="1"/>
  <c r="F21" i="1"/>
  <c r="D21" i="1"/>
  <c r="C21" i="1"/>
  <c r="B21" i="1"/>
  <c r="A21" i="1"/>
  <c r="H20" i="1"/>
  <c r="F20" i="1"/>
  <c r="D20" i="1"/>
  <c r="C20" i="1"/>
  <c r="B20" i="1"/>
  <c r="A20" i="1"/>
  <c r="H19" i="1"/>
  <c r="F19" i="1"/>
  <c r="D19" i="1"/>
  <c r="C19" i="1"/>
  <c r="B19" i="1"/>
  <c r="A19" i="1"/>
  <c r="H18" i="1"/>
  <c r="F18" i="1"/>
  <c r="D18" i="1"/>
  <c r="C18" i="1"/>
  <c r="B18" i="1"/>
  <c r="A18" i="1"/>
  <c r="H17" i="1"/>
  <c r="F17" i="1"/>
  <c r="D17" i="1"/>
  <c r="C17" i="1"/>
  <c r="B17" i="1"/>
  <c r="A17" i="1"/>
  <c r="H16" i="1"/>
  <c r="F16" i="1"/>
  <c r="D16" i="1"/>
  <c r="C16" i="1"/>
  <c r="B16" i="1"/>
  <c r="A16" i="1"/>
  <c r="H15" i="1"/>
  <c r="F15" i="1"/>
  <c r="D15" i="1"/>
  <c r="C15" i="1"/>
  <c r="B15" i="1"/>
  <c r="A15" i="1"/>
  <c r="H14" i="1"/>
  <c r="F14" i="1"/>
  <c r="D14" i="1"/>
  <c r="C14" i="1"/>
  <c r="B14" i="1"/>
  <c r="A14" i="1"/>
  <c r="H13" i="1"/>
  <c r="F13" i="1"/>
  <c r="D13" i="1"/>
  <c r="C13" i="1"/>
  <c r="B13" i="1"/>
  <c r="A13" i="1"/>
  <c r="H12" i="1"/>
  <c r="F12" i="1"/>
  <c r="D12" i="1"/>
  <c r="C12" i="1"/>
  <c r="B12" i="1"/>
  <c r="A12" i="1"/>
  <c r="H11" i="1"/>
  <c r="F11" i="1"/>
  <c r="D11" i="1"/>
  <c r="C11" i="1"/>
  <c r="B11" i="1"/>
  <c r="A11" i="1"/>
  <c r="H10" i="1"/>
  <c r="F10" i="1"/>
  <c r="D10" i="1"/>
  <c r="C10" i="1"/>
  <c r="B10" i="1"/>
  <c r="A10" i="1"/>
  <c r="H9" i="1"/>
  <c r="F9" i="1"/>
  <c r="D9" i="1"/>
  <c r="C9" i="1"/>
  <c r="B9" i="1"/>
  <c r="A9" i="1"/>
  <c r="H8" i="1"/>
  <c r="F8" i="1"/>
  <c r="D8" i="1"/>
  <c r="C8" i="1"/>
  <c r="B8" i="1"/>
  <c r="A8" i="1"/>
  <c r="H7" i="1"/>
  <c r="F7" i="1"/>
  <c r="D7" i="1"/>
  <c r="C7" i="1"/>
  <c r="B7" i="1"/>
  <c r="A7" i="1"/>
  <c r="H6" i="1"/>
  <c r="F6" i="1"/>
  <c r="E6" i="1"/>
  <c r="D6" i="1"/>
  <c r="C6" i="1"/>
  <c r="B6" i="1"/>
  <c r="A6" i="1"/>
  <c r="A1" i="1"/>
  <c r="G6" i="2" l="1"/>
  <c r="E7" i="2" l="1"/>
  <c r="G6" i="1"/>
  <c r="G7" i="2" l="1"/>
  <c r="E7" i="1"/>
  <c r="E8" i="2" l="1"/>
  <c r="G7" i="1"/>
  <c r="G8" i="2" l="1"/>
  <c r="E8" i="1"/>
  <c r="E9" i="2" l="1"/>
  <c r="G8" i="1"/>
  <c r="G9" i="2" l="1"/>
  <c r="E9" i="1"/>
  <c r="E10" i="2" l="1"/>
  <c r="G9" i="1"/>
  <c r="G10" i="2" l="1"/>
  <c r="E10" i="1"/>
  <c r="E11" i="2" l="1"/>
  <c r="G10" i="1"/>
  <c r="G11" i="2" l="1"/>
  <c r="E11" i="1"/>
  <c r="E12" i="2" l="1"/>
  <c r="G11" i="1"/>
  <c r="G12" i="2" l="1"/>
  <c r="E12" i="1"/>
  <c r="E13" i="2" l="1"/>
  <c r="G12" i="1"/>
  <c r="G13" i="2" l="1"/>
  <c r="E13" i="1"/>
  <c r="E14" i="2" l="1"/>
  <c r="G13" i="1"/>
  <c r="G14" i="2" l="1"/>
  <c r="E14" i="1"/>
  <c r="E15" i="2" l="1"/>
  <c r="G14" i="1"/>
  <c r="G15" i="2" l="1"/>
  <c r="E15" i="1"/>
  <c r="E16" i="2" l="1"/>
  <c r="G15" i="1"/>
  <c r="G16" i="2" l="1"/>
  <c r="E16" i="1"/>
  <c r="E17" i="2" l="1"/>
  <c r="G16" i="1"/>
  <c r="G17" i="2" l="1"/>
  <c r="E17" i="1"/>
  <c r="E18" i="2" l="1"/>
  <c r="G17" i="1"/>
  <c r="G18" i="2" l="1"/>
  <c r="E18" i="1"/>
  <c r="E19" i="2" l="1"/>
  <c r="G18" i="1"/>
  <c r="G19" i="2" l="1"/>
  <c r="E19" i="1"/>
  <c r="E20" i="2" l="1"/>
  <c r="G19" i="1"/>
  <c r="G20" i="2" l="1"/>
  <c r="E20" i="1"/>
  <c r="E21" i="2" l="1"/>
  <c r="G20" i="1"/>
  <c r="G21" i="2" l="1"/>
  <c r="E21" i="1"/>
  <c r="E22" i="2" l="1"/>
  <c r="G21" i="1"/>
  <c r="G22" i="2" l="1"/>
  <c r="E22" i="1"/>
  <c r="E23" i="2" l="1"/>
  <c r="G22" i="1"/>
  <c r="G23" i="2" l="1"/>
  <c r="E23" i="1"/>
  <c r="E24" i="2" l="1"/>
  <c r="G23" i="1"/>
  <c r="G24" i="2" l="1"/>
  <c r="E24" i="1"/>
  <c r="E25" i="2" l="1"/>
  <c r="G24" i="1"/>
  <c r="G25" i="2" l="1"/>
  <c r="G25" i="1" s="1"/>
  <c r="E25" i="1"/>
  <c r="B6" i="3"/>
  <c r="I3" i="1" s="1"/>
  <c r="J3" i="1" l="1"/>
  <c r="I2" i="1"/>
  <c r="K3" i="1" l="1"/>
  <c r="J2" i="1"/>
  <c r="L3" i="1" l="1"/>
  <c r="K2" i="1"/>
  <c r="M3" i="1" l="1"/>
  <c r="L2" i="1"/>
  <c r="N3" i="1" l="1"/>
  <c r="M2" i="1"/>
  <c r="O3" i="1" l="1"/>
  <c r="N2" i="1"/>
  <c r="P3" i="1" l="1"/>
  <c r="O2" i="1"/>
  <c r="Q3" i="1" l="1"/>
  <c r="P2" i="1"/>
  <c r="R3" i="1" l="1"/>
  <c r="Q2" i="1"/>
  <c r="S3" i="1" l="1"/>
  <c r="R2" i="1"/>
  <c r="T3" i="1" l="1"/>
  <c r="S2" i="1"/>
  <c r="U3" i="1" l="1"/>
  <c r="T2" i="1"/>
  <c r="V3" i="1" l="1"/>
  <c r="U2" i="1"/>
  <c r="W3" i="1" l="1"/>
  <c r="V2" i="1"/>
  <c r="X3" i="1" l="1"/>
  <c r="W2" i="1"/>
  <c r="Y3" i="1" l="1"/>
  <c r="X2" i="1"/>
  <c r="Z3" i="1" l="1"/>
  <c r="Y2" i="1"/>
  <c r="AA3" i="1" l="1"/>
  <c r="Z2" i="1"/>
  <c r="A1" i="5" s="1"/>
  <c r="AB3" i="1" l="1"/>
  <c r="AA2" i="1"/>
  <c r="AC3" i="1" l="1"/>
  <c r="AB2" i="1"/>
  <c r="AD3" i="1" l="1"/>
  <c r="AC2" i="1"/>
  <c r="AE3" i="1" l="1"/>
  <c r="AD2" i="1"/>
  <c r="AF3" i="1" l="1"/>
  <c r="AE2" i="1"/>
  <c r="AG3" i="1" l="1"/>
  <c r="AF2" i="1"/>
  <c r="AH3" i="1" l="1"/>
  <c r="AG2" i="1"/>
  <c r="AI3" i="1" l="1"/>
  <c r="AH2" i="1"/>
  <c r="AJ3" i="1" l="1"/>
  <c r="AI2" i="1"/>
  <c r="AK3" i="1" l="1"/>
  <c r="AJ2" i="1"/>
  <c r="AL3" i="1" l="1"/>
  <c r="AK2" i="1"/>
  <c r="AM3" i="1" l="1"/>
  <c r="AL2" i="1"/>
  <c r="AN3" i="1" l="1"/>
  <c r="AM2" i="1"/>
  <c r="AO3" i="1" l="1"/>
  <c r="AN2" i="1"/>
  <c r="AP3" i="1" l="1"/>
  <c r="AO2" i="1"/>
  <c r="AQ3" i="1" l="1"/>
  <c r="AP2" i="1"/>
  <c r="AR3" i="1" l="1"/>
  <c r="AQ2" i="1"/>
  <c r="AS3" i="1" l="1"/>
  <c r="AR2" i="1"/>
  <c r="AT3" i="1" l="1"/>
  <c r="AS2" i="1"/>
  <c r="AU3" i="1" l="1"/>
  <c r="AT2" i="1"/>
  <c r="AV3" i="1" l="1"/>
  <c r="AU2" i="1"/>
  <c r="AW3" i="1" l="1"/>
  <c r="AV2" i="1"/>
  <c r="AX3" i="1" l="1"/>
  <c r="AW2" i="1"/>
  <c r="AY3" i="1" l="1"/>
  <c r="AX2" i="1"/>
  <c r="AZ3" i="1" l="1"/>
  <c r="AY2" i="1"/>
  <c r="BA3" i="1" l="1"/>
  <c r="AZ2" i="1"/>
  <c r="BB3" i="1" l="1"/>
  <c r="BA2" i="1"/>
  <c r="BC3" i="1" l="1"/>
  <c r="BB2" i="1"/>
  <c r="BD3" i="1" l="1"/>
  <c r="BC2" i="1"/>
  <c r="BE3" i="1" l="1"/>
  <c r="BD2" i="1"/>
  <c r="BF3" i="1" l="1"/>
  <c r="BE2" i="1"/>
  <c r="BG3" i="1" l="1"/>
  <c r="BF2" i="1"/>
  <c r="BH3" i="1" l="1"/>
  <c r="BG2" i="1"/>
  <c r="BI3" i="1" l="1"/>
  <c r="BH2" i="1"/>
  <c r="BJ3" i="1" l="1"/>
  <c r="BI2" i="1"/>
  <c r="BK3" i="1" l="1"/>
  <c r="BJ2" i="1"/>
  <c r="BL3" i="1" l="1"/>
  <c r="BK2" i="1"/>
  <c r="BM3" i="1" l="1"/>
  <c r="BL2" i="1"/>
  <c r="BN3" i="1" l="1"/>
  <c r="BM2" i="1"/>
  <c r="BO3" i="1" l="1"/>
  <c r="BN2" i="1"/>
  <c r="BP3" i="1" l="1"/>
  <c r="BO2" i="1"/>
  <c r="BQ3" i="1" l="1"/>
  <c r="BP2" i="1"/>
  <c r="BR3" i="1" l="1"/>
  <c r="BQ2" i="1"/>
  <c r="BS3" i="1" l="1"/>
  <c r="BR2" i="1"/>
  <c r="BT3" i="1" l="1"/>
  <c r="BS2" i="1"/>
  <c r="BU3" i="1" l="1"/>
  <c r="BT2" i="1"/>
  <c r="BV3" i="1" l="1"/>
  <c r="BU2" i="1"/>
  <c r="BW3" i="1" l="1"/>
  <c r="BV2" i="1"/>
  <c r="BX3" i="1" l="1"/>
  <c r="BW2" i="1"/>
  <c r="BY3" i="1" l="1"/>
  <c r="BX2" i="1"/>
  <c r="BZ3" i="1" l="1"/>
  <c r="BY2" i="1"/>
  <c r="CA3" i="1" l="1"/>
  <c r="BZ2" i="1"/>
  <c r="CB3" i="1" l="1"/>
  <c r="CA2" i="1"/>
  <c r="CC3" i="1" l="1"/>
  <c r="CB2" i="1"/>
  <c r="CD3" i="1" l="1"/>
  <c r="CC2" i="1"/>
  <c r="CE3" i="1" l="1"/>
  <c r="CD2" i="1"/>
  <c r="CF3" i="1" l="1"/>
  <c r="CE2" i="1"/>
  <c r="CG3" i="1" l="1"/>
  <c r="CF2" i="1"/>
  <c r="CH3" i="1" l="1"/>
  <c r="CG2" i="1"/>
  <c r="CI3" i="1" l="1"/>
  <c r="CH2" i="1"/>
  <c r="CJ3" i="1" l="1"/>
  <c r="CI2" i="1"/>
  <c r="CK3" i="1" l="1"/>
  <c r="CJ2" i="1"/>
  <c r="CL3" i="1" l="1"/>
  <c r="CK2" i="1"/>
  <c r="CM3" i="1" l="1"/>
  <c r="CL2" i="1"/>
  <c r="CN3" i="1" l="1"/>
  <c r="CM2" i="1"/>
  <c r="CO3" i="1" l="1"/>
  <c r="CN2" i="1"/>
  <c r="CP3" i="1" l="1"/>
  <c r="CO2" i="1"/>
  <c r="CQ3" i="1" l="1"/>
  <c r="CP2" i="1"/>
  <c r="CR3" i="1" l="1"/>
  <c r="CQ2" i="1"/>
  <c r="CS3" i="1" l="1"/>
  <c r="CR2" i="1"/>
  <c r="CT3" i="1" l="1"/>
  <c r="CS2" i="1"/>
  <c r="CU3" i="1" l="1"/>
  <c r="CT2" i="1"/>
  <c r="CV3" i="1" l="1"/>
  <c r="CU2" i="1"/>
  <c r="CW3" i="1" l="1"/>
  <c r="CV2" i="1"/>
  <c r="CX3" i="1" l="1"/>
  <c r="CW2" i="1"/>
  <c r="CY3" i="1" l="1"/>
  <c r="CX2" i="1"/>
  <c r="CZ3" i="1" l="1"/>
  <c r="CY2" i="1"/>
  <c r="DA3" i="1" l="1"/>
  <c r="CZ2" i="1"/>
  <c r="DB3" i="1" l="1"/>
  <c r="DA2" i="1"/>
  <c r="DC3" i="1" l="1"/>
  <c r="DB2" i="1"/>
  <c r="DD3" i="1" l="1"/>
  <c r="DC2" i="1"/>
  <c r="DE3" i="1" l="1"/>
  <c r="DD2" i="1"/>
  <c r="DF3" i="1" l="1"/>
  <c r="DE2" i="1"/>
  <c r="DG3" i="1" l="1"/>
  <c r="DF2" i="1"/>
  <c r="DH3" i="1" l="1"/>
  <c r="DG2" i="1"/>
  <c r="DI3" i="1" l="1"/>
  <c r="DH2" i="1"/>
  <c r="DJ3" i="1" l="1"/>
  <c r="DI2" i="1"/>
  <c r="DK3" i="1" l="1"/>
  <c r="DJ2" i="1"/>
  <c r="DL3" i="1" l="1"/>
  <c r="DK2" i="1"/>
  <c r="DM3" i="1" l="1"/>
  <c r="DL2" i="1"/>
  <c r="DN3" i="1" l="1"/>
  <c r="DM2" i="1"/>
  <c r="DO3" i="1" l="1"/>
  <c r="DN2" i="1"/>
  <c r="DP3" i="1" l="1"/>
  <c r="DO2" i="1"/>
  <c r="DQ3" i="1" l="1"/>
  <c r="DP2" i="1"/>
  <c r="DR3" i="1" l="1"/>
  <c r="DQ2" i="1"/>
  <c r="DS3" i="1" l="1"/>
  <c r="DR2" i="1"/>
  <c r="DT3" i="1" l="1"/>
  <c r="DS2" i="1"/>
  <c r="DU3" i="1" l="1"/>
  <c r="DT2" i="1"/>
  <c r="DV3" i="1" l="1"/>
  <c r="DU2" i="1"/>
  <c r="DW3" i="1" l="1"/>
  <c r="DV2" i="1"/>
  <c r="DX3" i="1" l="1"/>
  <c r="DX2" i="1" s="1"/>
  <c r="DW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<sst xmlns="http://schemas.openxmlformats.org/spreadsheetml/2006/main" count="105" uniqueCount="58">
  <si>
    <t>Read-only sheet. Edit data in 'Tasks' and 'Settings'</t>
  </si>
  <si>
    <t>#</t>
  </si>
  <si>
    <t>Phase</t>
  </si>
  <si>
    <t>Task</t>
  </si>
  <si>
    <t>Owner</t>
  </si>
  <si>
    <t>Start Date</t>
  </si>
  <si>
    <t>Days</t>
  </si>
  <si>
    <t>End Date</t>
  </si>
  <si>
    <t>% Done</t>
  </si>
  <si>
    <t>added by SharpCell</t>
  </si>
  <si>
    <t>TASK INPUT</t>
  </si>
  <si>
    <t>Edit here (plan updates automatically)</t>
  </si>
  <si>
    <t>Task Name</t>
  </si>
  <si>
    <t>Notes</t>
  </si>
  <si>
    <t>Planning</t>
  </si>
  <si>
    <t>Define scope &amp; goals</t>
  </si>
  <si>
    <t>John</t>
  </si>
  <si>
    <t>Stakeholder interviews</t>
  </si>
  <si>
    <t>Requirements doc</t>
  </si>
  <si>
    <t>Tech stack decision</t>
  </si>
  <si>
    <t>Jane</t>
  </si>
  <si>
    <t>Design</t>
  </si>
  <si>
    <t>UX wireframes</t>
  </si>
  <si>
    <t>Design system / tokens</t>
  </si>
  <si>
    <t>Prototype review</t>
  </si>
  <si>
    <t>Dev</t>
  </si>
  <si>
    <t>Spreadsheet engine core</t>
  </si>
  <si>
    <t>Formula parser v2</t>
  </si>
  <si>
    <t>Frontend components</t>
  </si>
  <si>
    <t>WebAssembly build</t>
  </si>
  <si>
    <t>API integration</t>
  </si>
  <si>
    <t>Testing</t>
  </si>
  <si>
    <t>Unit test suite</t>
  </si>
  <si>
    <t>Cross-browser QA</t>
  </si>
  <si>
    <t>Performance benchmarks</t>
  </si>
  <si>
    <t>Bug fixes</t>
  </si>
  <si>
    <t>Launch</t>
  </si>
  <si>
    <t>Docs &amp; changelog</t>
  </si>
  <si>
    <t>Beta release</t>
  </si>
  <si>
    <t>Marketing page</t>
  </si>
  <si>
    <t>v1.0 release 🚀</t>
  </si>
  <si>
    <t>PROJECT SETTINGS</t>
  </si>
  <si>
    <t>Project Name</t>
  </si>
  <si>
    <t>IronCalc v1.0</t>
  </si>
  <si>
    <t>Name shown on the Plan header</t>
  </si>
  <si>
    <t>Project Start</t>
  </si>
  <si>
    <t>First date shown on the Gantt timeline</t>
  </si>
  <si>
    <t>Days to show</t>
  </si>
  <si>
    <t>Number of calendar days in the Gantt (max ~120)</t>
  </si>
  <si>
    <t>Today</t>
  </si>
  <si>
    <t>Auto, do not edit</t>
  </si>
  <si>
    <t>Owner 1</t>
  </si>
  <si>
    <t>Owner 2</t>
  </si>
  <si>
    <t>Owner 3</t>
  </si>
  <si>
    <t>Owner 4</t>
  </si>
  <si>
    <t>Phase colours (reference)</t>
  </si>
  <si>
    <t>Other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</si>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</sst>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"/>
    <numFmt numFmtId="165" formatCode="d"/>
    <numFmt numFmtId="166" formatCode="0.0000"/>
    <numFmt numFmtId="167" formatCode="#,##0.00\ &quot;EUR&quot;"/>
  </numFmts>
  <fonts count="1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 tint="0.499984740745262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14"/>
      <color theme="0"/>
      <name val="Aptos Narrow"/>
      <scheme val="minor"/>
    </font>
    <font>
      <b/>
      <sz val="10"/>
      <color theme="1" tint="0.499984740745262"/>
      <name val="Aptos Narrow"/>
      <scheme val="minor"/>
    </font>
    <font>
      <i/>
      <sz val="12"/>
      <color theme="1" tint="0.499984740745262"/>
      <name val="Aptos Narrow"/>
      <scheme val="minor"/>
    </font>
    <font>
      <sz val="12"/>
      <color theme="3" tint="0.39997558519241921"/>
      <name val="Aptos Narrow"/>
      <family val="2"/>
      <scheme val="minor"/>
    </font>
    <font>
      <sz val="10"/>
      <color rgb="FFFFFFFF"/>
      <name val="Aptos Narrow"/>
      <scheme val="minor"/>
    </font>
    <font>
      <b/>
      <sz val="12"/>
      <color rgb="FFFFFFFF"/>
      <name val="Aptos Narrow"/>
      <scheme val="minor"/>
    </font>
    <font>
      <i/>
      <sz val="12"/>
      <color rgb="FF272525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D3A3A"/>
        <bgColor indexed="64"/>
      </patternFill>
    </fill>
    <fill>
      <patternFill patternType="solid">
        <fgColor rgb="FF272525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  <border>
      <left style="thin">
        <color theme="1" tint="0.89999084444715716"/>
      </left>
      <right style="thin">
        <color theme="1" tint="0.89999084444715716"/>
      </right>
      <top/>
      <bottom style="thin">
        <color theme="1" tint="0.89999084444715716"/>
      </bottom>
      <diagonal/>
    </border>
    <border>
      <left/>
      <right/>
      <top/>
      <bottom style="thin">
        <color theme="1" tint="0.89996032593768116"/>
      </bottom>
      <diagonal/>
    </border>
    <border>
      <left/>
      <right/>
      <top style="thin">
        <color theme="1" tint="0.89996032593768116"/>
      </top>
      <bottom style="thin">
        <color theme="1" tint="0.89996032593768116"/>
      </bottom>
      <diagonal/>
    </border>
    <border>
      <left/>
      <right/>
      <top style="thin">
        <color theme="1" tint="0.89996032593768116"/>
      </top>
      <bottom style="thin">
        <color theme="1" tint="0.89999084444715716"/>
      </bottom>
      <diagonal/>
    </border>
    <border>
      <left/>
      <right style="thin">
        <color theme="1" tint="0.89999084444715716"/>
      </right>
      <top/>
      <bottom style="thin">
        <color theme="1" tint="0.89996032593768116"/>
      </bottom>
      <diagonal/>
    </border>
    <border>
      <left/>
      <right style="thin">
        <color theme="1" tint="0.89999084444715716"/>
      </right>
      <top style="thin">
        <color theme="1" tint="0.89996032593768116"/>
      </top>
      <bottom style="thin">
        <color theme="1" tint="0.89996032593768116"/>
      </bottom>
      <diagonal/>
    </border>
    <border>
      <left/>
      <right style="thin">
        <color theme="1" tint="0.89999084444715716"/>
      </right>
      <top style="thin">
        <color theme="1" tint="0.89996032593768116"/>
      </top>
      <bottom style="thin">
        <color theme="1" tint="0.89999084444715716"/>
      </bottom>
      <diagonal/>
    </border>
    <border>
      <left/>
      <right/>
      <top style="thin">
        <color rgb="FFEAE8E8"/>
      </top>
      <bottom style="thin">
        <color rgb="FFEAE8E8"/>
      </bottom>
      <diagonal/>
    </border>
    <border>
      <left/>
      <right/>
      <top/>
      <bottom style="thin">
        <color rgb="FFEAE8E8"/>
      </bottom>
      <diagonal/>
    </border>
    <border>
      <left/>
      <right style="thin">
        <color rgb="FFEAE8E8"/>
      </right>
      <top/>
      <bottom style="thin">
        <color rgb="FFEAE8E8"/>
      </bottom>
      <diagonal/>
    </border>
    <border>
      <left/>
      <right style="thin">
        <color rgb="FFEAE8E8"/>
      </right>
      <top style="thin">
        <color rgb="FFEAE8E8"/>
      </top>
      <bottom style="thin">
        <color rgb="FFEAE8E8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2" borderId="1" xfId="2" applyAlignment="1">
      <alignment horizontal="left" vertical="center"/>
    </xf>
    <xf numFmtId="14" fontId="2" fillId="2" borderId="1" xfId="2" applyNumberFormat="1" applyAlignment="1">
      <alignment horizontal="left" vertical="center"/>
    </xf>
    <xf numFmtId="0" fontId="5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/>
    <xf numFmtId="0" fontId="6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0" fillId="9" borderId="0" xfId="0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9" fontId="11" fillId="0" borderId="3" xfId="1" applyFont="1" applyBorder="1" applyAlignment="1">
      <alignment horizontal="center" vertical="center"/>
    </xf>
    <xf numFmtId="9" fontId="11" fillId="0" borderId="2" xfId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3" xfId="0" applyBorder="1"/>
    <xf numFmtId="165" fontId="12" fillId="10" borderId="0" xfId="0" applyNumberFormat="1" applyFont="1" applyFill="1" applyAlignment="1">
      <alignment horizontal="center" vertical="center"/>
    </xf>
    <xf numFmtId="164" fontId="13" fillId="11" borderId="0" xfId="0" applyNumberFormat="1" applyFont="1" applyFill="1" applyAlignment="1">
      <alignment horizontal="left"/>
    </xf>
    <xf numFmtId="0" fontId="6" fillId="9" borderId="0" xfId="0" applyFont="1" applyFill="1" applyAlignment="1">
      <alignment horizontal="left" vertical="center"/>
    </xf>
    <xf numFmtId="2" fontId="0" fillId="0" borderId="0" xfId="0" applyNumberFormat="1"/>
    <xf numFmtId="166" fontId="0" fillId="0" borderId="0" xfId="0" applyNumberFormat="1"/>
    <xf numFmtId="0" fontId="14" fillId="0" borderId="0" xfId="0" applyFont="1"/>
    <xf numFmtId="167" fontId="0" fillId="0" borderId="0" xfId="0" applyNumberFormat="1"/>
  </cellXfs>
  <cellStyles count="3">
    <cellStyle name="Input" xfId="2" builtinId="20"/>
    <cellStyle name="Normal" xfId="0" builtinId="0"/>
    <cellStyle name="Percent" xfId="1" builtinId="5"/>
  </cellStyles>
  <dxfs count="24">
    <dxf>
      <font>
        <color theme="6" tint="0.79998168889431442"/>
      </font>
      <fill>
        <patternFill>
          <bgColor theme="6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5" tint="-0.499984740745262"/>
      </font>
      <fill>
        <patternFill>
          <bgColor theme="5"/>
        </patternFill>
      </fill>
    </dxf>
    <dxf>
      <font>
        <color theme="4" tint="0.79998168889431442"/>
      </font>
      <fill>
        <patternFill>
          <bgColor theme="4"/>
        </patternFill>
      </fill>
    </dxf>
    <dxf>
      <font>
        <color theme="7" tint="0.79998168889431442"/>
      </font>
      <fill>
        <patternFill>
          <bgColor theme="7"/>
        </patternFill>
      </fill>
    </dxf>
    <dxf>
      <font>
        <color theme="7"/>
      </font>
      <fill>
        <patternFill>
          <bgColor theme="7"/>
        </patternFill>
      </fill>
    </dxf>
    <dxf>
      <font>
        <color theme="4"/>
      </font>
      <fill>
        <patternFill>
          <bgColor theme="4"/>
        </patternFill>
      </fill>
    </dxf>
    <dxf>
      <font>
        <color theme="5"/>
      </font>
      <fill>
        <patternFill>
          <bgColor theme="5"/>
        </patternFill>
      </fill>
    </dxf>
    <dxf>
      <font>
        <color theme="9"/>
      </font>
      <fill>
        <patternFill>
          <bgColor theme="9"/>
        </patternFill>
      </fill>
    </dxf>
    <dxf>
      <font>
        <color theme="6"/>
      </font>
      <fill>
        <patternFill>
          <bgColor theme="6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ill>
        <patternFill patternType="solid">
          <fgColor indexed="64"/>
          <bgColor rgb="FF8CB354"/>
        </patternFill>
      </fill>
    </dxf>
    <dxf>
      <fill>
        <patternFill patternType="solid">
          <fgColor indexed="64"/>
          <bgColor rgb="FFF8CD3D"/>
        </patternFill>
      </fill>
    </dxf>
    <dxf>
      <fill>
        <patternFill patternType="solid">
          <fgColor indexed="64"/>
          <bgColor rgb="FF3458B7"/>
        </patternFill>
      </fill>
    </dxf>
    <dxf>
      <fill>
        <patternFill patternType="solid">
          <fgColor indexed="64"/>
          <bgColor rgb="FFF2994A"/>
        </patternFill>
      </fill>
    </dxf>
    <dxf>
      <fill>
        <patternFill patternType="solid">
          <fgColor indexed="64"/>
          <bgColor rgb="FFD6D6D6"/>
        </patternFill>
      </fill>
    </dxf>
    <dxf>
      <fill>
        <patternFill patternType="solid">
          <fgColor indexed="64"/>
          <bgColor rgb="FFEC5753"/>
        </patternFill>
      </fill>
    </dxf>
    <dxf>
      <font>
        <color theme="7" tint="0.79998168889431442"/>
      </font>
      <fill>
        <patternFill>
          <bgColor theme="7"/>
        </patternFill>
      </fill>
    </dxf>
    <dxf>
      <font>
        <color theme="4" tint="0.79998168889431442"/>
      </font>
      <fill>
        <patternFill>
          <bgColor theme="4"/>
        </patternFill>
      </fill>
    </dxf>
    <dxf>
      <font>
        <color theme="5" tint="-0.499984740745262"/>
      </font>
      <fill>
        <patternFill>
          <bgColor theme="5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6" tint="0.79998168889431442"/>
      </font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IronCalc">
  <a:themeElements>
    <a:clrScheme name="IronCalc">
      <a:dk1>
        <a:sysClr val="windowText" lastClr="000000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F176F4-3F74-E44F-908D-EBAB2D7D9EA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6139d10-7834-49c9-acce-0067f3b96d4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F3D5-D1F7-DA4F-8499-579FE6CC8F88}">
  <dimension ref="A1:DX42"/>
  <sheetViews>
    <sheetView showGridLines="0" tabSelected="1" workbookViewId="0"/>
  </sheetViews>
  <sheetFormatPr defaultColWidth="11" defaultRowHeight="15.95"/>
  <cols>
    <col min="1" max="1" width="3.375" customWidth="1"/>
    <col min="2" max="2" width="10.875" style="24"/>
    <col min="3" max="3" width="33.375" customWidth="1"/>
    <col min="4" max="8" width="10.875" style="24"/>
    <col min="9" max="128" width="2" customWidth="1"/>
  </cols>
  <sheetData>
    <row r="1" spans="1:128" ht="30" customHeight="1">
      <c r="A1" s="13" t="str">
        <f>Settings!B3&amp;"  ·  PROJECT PLAN"</f>
        <v>IronCalc v1.0  ·  PROJECT PLAN</v>
      </c>
      <c r="B1" s="22"/>
      <c r="C1" s="13"/>
      <c r="D1" s="22"/>
      <c r="E1" s="22"/>
      <c r="F1" s="22"/>
      <c r="G1" s="22"/>
      <c r="H1" s="2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</row>
    <row r="2" spans="1:128">
      <c r="A2" s="21" t="s">
        <v>0</v>
      </c>
      <c r="B2" s="23"/>
      <c r="C2" s="12"/>
      <c r="D2" s="23"/>
      <c r="E2" s="23"/>
      <c r="F2" s="23"/>
      <c r="G2" s="23"/>
      <c r="H2" s="23"/>
      <c r="I2" s="38">
        <f ca="1">I3</f>
        <v>46305</v>
      </c>
      <c r="J2" s="38" t="str">
        <f ca="1">IF(DAY(J3)=1,J3,"")</f>
        <v/>
      </c>
      <c r="K2" s="38" t="str">
        <f ca="1">IF(DAY(K3)=1,K3,"")</f>
        <v/>
      </c>
      <c r="L2" s="38" t="str">
        <f ca="1">IF(DAY(L3)=1,L3,"")</f>
        <v/>
      </c>
      <c r="M2" s="38" t="str">
        <f ca="1">IF(DAY(M3)=1,M3,"")</f>
        <v/>
      </c>
      <c r="N2" s="38" t="str">
        <f ca="1">IF(DAY(N3)=1,N3,"")</f>
        <v/>
      </c>
      <c r="O2" s="38" t="str">
        <f ca="1">IF(DAY(O3)=1,O3,"")</f>
        <v/>
      </c>
      <c r="P2" s="38" t="str">
        <f ca="1">IF(DAY(P3)=1,P3,"")</f>
        <v/>
      </c>
      <c r="Q2" s="38" t="str">
        <f ca="1">IF(DAY(Q3)=1,Q3,"")</f>
        <v/>
      </c>
      <c r="R2" s="38" t="str">
        <f ca="1">IF(DAY(R3)=1,R3,"")</f>
        <v/>
      </c>
      <c r="S2" s="38" t="str">
        <f ca="1">IF(DAY(S3)=1,S3,"")</f>
        <v/>
      </c>
      <c r="T2" s="38" t="str">
        <f ca="1">IF(DAY(T3)=1,T3,"")</f>
        <v/>
      </c>
      <c r="U2" s="38" t="str">
        <f ca="1">IF(DAY(U3)=1,U3,"")</f>
        <v/>
      </c>
      <c r="V2" s="38" t="str">
        <f ca="1">IF(DAY(V3)=1,V3,"")</f>
        <v/>
      </c>
      <c r="W2" s="38" t="str">
        <f ca="1">IF(DAY(W3)=1,W3,"")</f>
        <v/>
      </c>
      <c r="X2" s="38" t="str">
        <f ca="1">IF(DAY(X3)=1,X3,"")</f>
        <v/>
      </c>
      <c r="Y2" s="38" t="str">
        <f ca="1">IF(DAY(Y3)=1,Y3,"")</f>
        <v/>
      </c>
      <c r="Z2" s="38" t="str">
        <f ca="1">IF(DAY(Z3)=1,Z3,"")</f>
        <v/>
      </c>
      <c r="AA2" s="38" t="str">
        <f ca="1">IF(DAY(AA3)=1,AA3,"")</f>
        <v/>
      </c>
      <c r="AB2" s="38" t="str">
        <f ca="1">IF(DAY(AB3)=1,AB3,"")</f>
        <v/>
      </c>
      <c r="AC2" s="38" t="str">
        <f ca="1">IF(DAY(AC3)=1,AC3,"")</f>
        <v/>
      </c>
      <c r="AD2" s="38" t="str">
        <f ca="1">IF(DAY(AD3)=1,AD3,"")</f>
        <v/>
      </c>
      <c r="AE2" s="38">
        <f ca="1">IF(DAY(AE3)=1,AE3,"")</f>
        <v>46327</v>
      </c>
      <c r="AF2" s="38" t="str">
        <f ca="1">IF(DAY(AF3)=1,AF3,"")</f>
        <v/>
      </c>
      <c r="AG2" s="38" t="str">
        <f ca="1">IF(DAY(AG3)=1,AG3,"")</f>
        <v/>
      </c>
      <c r="AH2" s="38" t="str">
        <f ca="1">IF(DAY(AH3)=1,AH3,"")</f>
        <v/>
      </c>
      <c r="AI2" s="38" t="str">
        <f ca="1">IF(DAY(AI3)=1,AI3,"")</f>
        <v/>
      </c>
      <c r="AJ2" s="38" t="str">
        <f ca="1">IF(DAY(AJ3)=1,AJ3,"")</f>
        <v/>
      </c>
      <c r="AK2" s="38" t="str">
        <f ca="1">IF(DAY(AK3)=1,AK3,"")</f>
        <v/>
      </c>
      <c r="AL2" s="38" t="str">
        <f ca="1">IF(DAY(AL3)=1,AL3,"")</f>
        <v/>
      </c>
      <c r="AM2" s="38" t="str">
        <f ca="1">IF(DAY(AM3)=1,AM3,"")</f>
        <v/>
      </c>
      <c r="AN2" s="38" t="str">
        <f ca="1">IF(DAY(AN3)=1,AN3,"")</f>
        <v/>
      </c>
      <c r="AO2" s="38" t="str">
        <f ca="1">IF(DAY(AO3)=1,AO3,"")</f>
        <v/>
      </c>
      <c r="AP2" s="38" t="str">
        <f ca="1">IF(DAY(AP3)=1,AP3,"")</f>
        <v/>
      </c>
      <c r="AQ2" s="38" t="str">
        <f ca="1">IF(DAY(AQ3)=1,AQ3,"")</f>
        <v/>
      </c>
      <c r="AR2" s="38" t="str">
        <f ca="1">IF(DAY(AR3)=1,AR3,"")</f>
        <v/>
      </c>
      <c r="AS2" s="38" t="str">
        <f ca="1">IF(DAY(AS3)=1,AS3,"")</f>
        <v/>
      </c>
      <c r="AT2" s="38" t="str">
        <f ca="1">IF(DAY(AT3)=1,AT3,"")</f>
        <v/>
      </c>
      <c r="AU2" s="38" t="str">
        <f ca="1">IF(DAY(AU3)=1,AU3,"")</f>
        <v/>
      </c>
      <c r="AV2" s="38" t="str">
        <f ca="1">IF(DAY(AV3)=1,AV3,"")</f>
        <v/>
      </c>
      <c r="AW2" s="38" t="str">
        <f ca="1">IF(DAY(AW3)=1,AW3,"")</f>
        <v/>
      </c>
      <c r="AX2" s="38" t="str">
        <f ca="1">IF(DAY(AX3)=1,AX3,"")</f>
        <v/>
      </c>
      <c r="AY2" s="38" t="str">
        <f ca="1">IF(DAY(AY3)=1,AY3,"")</f>
        <v/>
      </c>
      <c r="AZ2" s="38" t="str">
        <f ca="1">IF(DAY(AZ3)=1,AZ3,"")</f>
        <v/>
      </c>
      <c r="BA2" s="38" t="str">
        <f ca="1">IF(DAY(BA3)=1,BA3,"")</f>
        <v/>
      </c>
      <c r="BB2" s="38" t="str">
        <f ca="1">IF(DAY(BB3)=1,BB3,"")</f>
        <v/>
      </c>
      <c r="BC2" s="38" t="str">
        <f ca="1">IF(DAY(BC3)=1,BC3,"")</f>
        <v/>
      </c>
      <c r="BD2" s="38" t="str">
        <f ca="1">IF(DAY(BD3)=1,BD3,"")</f>
        <v/>
      </c>
      <c r="BE2" s="38" t="str">
        <f ca="1">IF(DAY(BE3)=1,BE3,"")</f>
        <v/>
      </c>
      <c r="BF2" s="38" t="str">
        <f ca="1">IF(DAY(BF3)=1,BF3,"")</f>
        <v/>
      </c>
      <c r="BG2" s="38" t="str">
        <f ca="1">IF(DAY(BG3)=1,BG3,"")</f>
        <v/>
      </c>
      <c r="BH2" s="38" t="str">
        <f ca="1">IF(DAY(BH3)=1,BH3,"")</f>
        <v/>
      </c>
      <c r="BI2" s="38">
        <f ca="1">IF(DAY(BI3)=1,BI3,"")</f>
        <v>46357</v>
      </c>
      <c r="BJ2" s="38" t="str">
        <f ca="1">IF(DAY(BJ3)=1,BJ3,"")</f>
        <v/>
      </c>
      <c r="BK2" s="38" t="str">
        <f ca="1">IF(DAY(BK3)=1,BK3,"")</f>
        <v/>
      </c>
      <c r="BL2" s="38" t="str">
        <f ca="1">IF(DAY(BL3)=1,BL3,"")</f>
        <v/>
      </c>
      <c r="BM2" s="38" t="str">
        <f ca="1">IF(DAY(BM3)=1,BM3,"")</f>
        <v/>
      </c>
      <c r="BN2" s="38" t="str">
        <f ca="1">IF(DAY(BN3)=1,BN3,"")</f>
        <v/>
      </c>
      <c r="BO2" s="38" t="str">
        <f ca="1">IF(DAY(BO3)=1,BO3,"")</f>
        <v/>
      </c>
      <c r="BP2" s="38" t="str">
        <f ca="1">IF(DAY(BP3)=1,BP3,"")</f>
        <v/>
      </c>
      <c r="BQ2" s="38" t="str">
        <f ca="1">IF(DAY(BQ3)=1,BQ3,"")</f>
        <v/>
      </c>
      <c r="BR2" s="38" t="str">
        <f ca="1">IF(DAY(BR3)=1,BR3,"")</f>
        <v/>
      </c>
      <c r="BS2" s="38" t="str">
        <f ca="1">IF(DAY(BS3)=1,BS3,"")</f>
        <v/>
      </c>
      <c r="BT2" s="38" t="str">
        <f ca="1">IF(DAY(BT3)=1,BT3,"")</f>
        <v/>
      </c>
      <c r="BU2" s="38" t="str">
        <f ca="1">IF(DAY(BU3)=1,BU3,"")</f>
        <v/>
      </c>
      <c r="BV2" s="38" t="str">
        <f ca="1">IF(DAY(BV3)=1,BV3,"")</f>
        <v/>
      </c>
      <c r="BW2" s="38" t="str">
        <f ca="1">IF(DAY(BW3)=1,BW3,"")</f>
        <v/>
      </c>
      <c r="BX2" s="38" t="str">
        <f ca="1">IF(DAY(BX3)=1,BX3,"")</f>
        <v/>
      </c>
      <c r="BY2" s="38" t="str">
        <f ca="1">IF(DAY(BY3)=1,BY3,"")</f>
        <v/>
      </c>
      <c r="BZ2" s="38" t="str">
        <f ca="1">IF(DAY(BZ3)=1,BZ3,"")</f>
        <v/>
      </c>
      <c r="CA2" s="38" t="str">
        <f ca="1">IF(DAY(CA3)=1,CA3,"")</f>
        <v/>
      </c>
      <c r="CB2" s="38" t="str">
        <f ca="1">IF(DAY(CB3)=1,CB3,"")</f>
        <v/>
      </c>
      <c r="CC2" s="38" t="str">
        <f ca="1">IF(DAY(CC3)=1,CC3,"")</f>
        <v/>
      </c>
      <c r="CD2" s="38" t="str">
        <f ca="1">IF(DAY(CD3)=1,CD3,"")</f>
        <v/>
      </c>
      <c r="CE2" s="38" t="str">
        <f ca="1">IF(DAY(CE3)=1,CE3,"")</f>
        <v/>
      </c>
      <c r="CF2" s="38" t="str">
        <f ca="1">IF(DAY(CF3)=1,CF3,"")</f>
        <v/>
      </c>
      <c r="CG2" s="38" t="str">
        <f ca="1">IF(DAY(CG3)=1,CG3,"")</f>
        <v/>
      </c>
      <c r="CH2" s="38" t="str">
        <f ca="1">IF(DAY(CH3)=1,CH3,"")</f>
        <v/>
      </c>
      <c r="CI2" s="38" t="str">
        <f ca="1">IF(DAY(CI3)=1,CI3,"")</f>
        <v/>
      </c>
      <c r="CJ2" s="38" t="str">
        <f ca="1">IF(DAY(CJ3)=1,CJ3,"")</f>
        <v/>
      </c>
      <c r="CK2" s="38" t="str">
        <f ca="1">IF(DAY(CK3)=1,CK3,"")</f>
        <v/>
      </c>
      <c r="CL2" s="38" t="str">
        <f ca="1">IF(DAY(CL3)=1,CL3,"")</f>
        <v/>
      </c>
      <c r="CM2" s="38" t="str">
        <f ca="1">IF(DAY(CM3)=1,CM3,"")</f>
        <v/>
      </c>
      <c r="CN2" s="38">
        <f ca="1">IF(DAY(CN3)=1,CN3,"")</f>
        <v>46388</v>
      </c>
      <c r="CO2" s="38" t="str">
        <f ca="1">IF(DAY(CO3)=1,CO3,"")</f>
        <v/>
      </c>
      <c r="CP2" s="38" t="str">
        <f ca="1">IF(DAY(CP3)=1,CP3,"")</f>
        <v/>
      </c>
      <c r="CQ2" s="38" t="str">
        <f ca="1">IF(DAY(CQ3)=1,CQ3,"")</f>
        <v/>
      </c>
      <c r="CR2" s="38" t="str">
        <f ca="1">IF(DAY(CR3)=1,CR3,"")</f>
        <v/>
      </c>
      <c r="CS2" s="38" t="str">
        <f ca="1">IF(DAY(CS3)=1,CS3,"")</f>
        <v/>
      </c>
      <c r="CT2" s="38" t="str">
        <f ca="1">IF(DAY(CT3)=1,CT3,"")</f>
        <v/>
      </c>
      <c r="CU2" s="38" t="str">
        <f ca="1">IF(DAY(CU3)=1,CU3,"")</f>
        <v/>
      </c>
      <c r="CV2" s="38" t="str">
        <f ca="1">IF(DAY(CV3)=1,CV3,"")</f>
        <v/>
      </c>
      <c r="CW2" s="38" t="str">
        <f ca="1">IF(DAY(CW3)=1,CW3,"")</f>
        <v/>
      </c>
      <c r="CX2" s="38" t="str">
        <f ca="1">IF(DAY(CX3)=1,CX3,"")</f>
        <v/>
      </c>
      <c r="CY2" s="38" t="str">
        <f ca="1">IF(DAY(CY3)=1,CY3,"")</f>
        <v/>
      </c>
      <c r="CZ2" s="38" t="str">
        <f ca="1">IF(DAY(CZ3)=1,CZ3,"")</f>
        <v/>
      </c>
      <c r="DA2" s="38" t="str">
        <f ca="1">IF(DAY(DA3)=1,DA3,"")</f>
        <v/>
      </c>
      <c r="DB2" s="38" t="str">
        <f ca="1">IF(DAY(DB3)=1,DB3,"")</f>
        <v/>
      </c>
      <c r="DC2" s="38" t="str">
        <f ca="1">IF(DAY(DC3)=1,DC3,"")</f>
        <v/>
      </c>
      <c r="DD2" s="38" t="str">
        <f ca="1">IF(DAY(DD3)=1,DD3,"")</f>
        <v/>
      </c>
      <c r="DE2" s="38" t="str">
        <f ca="1">IF(DAY(DE3)=1,DE3,"")</f>
        <v/>
      </c>
      <c r="DF2" s="38" t="str">
        <f ca="1">IF(DAY(DF3)=1,DF3,"")</f>
        <v/>
      </c>
      <c r="DG2" s="38" t="str">
        <f ca="1">IF(DAY(DG3)=1,DG3,"")</f>
        <v/>
      </c>
      <c r="DH2" s="38" t="str">
        <f ca="1">IF(DAY(DH3)=1,DH3,"")</f>
        <v/>
      </c>
      <c r="DI2" s="38" t="str">
        <f ca="1">IF(DAY(DI3)=1,DI3,"")</f>
        <v/>
      </c>
      <c r="DJ2" s="38" t="str">
        <f ca="1">IF(DAY(DJ3)=1,DJ3,"")</f>
        <v/>
      </c>
      <c r="DK2" s="38" t="str">
        <f ca="1">IF(DAY(DK3)=1,DK3,"")</f>
        <v/>
      </c>
      <c r="DL2" s="38" t="str">
        <f ca="1">IF(DAY(DL3)=1,DL3,"")</f>
        <v/>
      </c>
      <c r="DM2" s="38" t="str">
        <f ca="1">IF(DAY(DM3)=1,DM3,"")</f>
        <v/>
      </c>
      <c r="DN2" s="38" t="str">
        <f ca="1">IF(DAY(DN3)=1,DN3,"")</f>
        <v/>
      </c>
      <c r="DO2" s="38" t="str">
        <f ca="1">IF(DAY(DO3)=1,DO3,"")</f>
        <v/>
      </c>
      <c r="DP2" s="38" t="str">
        <f ca="1">IF(DAY(DP3)=1,DP3,"")</f>
        <v/>
      </c>
      <c r="DQ2" s="38" t="str">
        <f ca="1">IF(DAY(DQ3)=1,DQ3,"")</f>
        <v/>
      </c>
      <c r="DR2" s="38" t="str">
        <f ca="1">IF(DAY(DR3)=1,DR3,"")</f>
        <v/>
      </c>
      <c r="DS2" s="38">
        <f ca="1">IF(DAY(DS3)=1,DS3,"")</f>
        <v>46419</v>
      </c>
      <c r="DT2" s="38" t="str">
        <f ca="1">IF(DAY(DT3)=1,DT3,"")</f>
        <v/>
      </c>
      <c r="DU2" s="38" t="str">
        <f ca="1">IF(DAY(DU3)=1,DU3,"")</f>
        <v/>
      </c>
      <c r="DV2" s="38" t="str">
        <f ca="1">IF(DAY(DV3)=1,DV3,"")</f>
        <v/>
      </c>
      <c r="DW2" s="38" t="str">
        <f ca="1">IF(DAY(DW3)=1,DW3,"")</f>
        <v/>
      </c>
      <c r="DX2" s="38" t="str">
        <f ca="1">IF(DAY(DX3)=1,DX3,"")</f>
        <v/>
      </c>
    </row>
    <row r="3" spans="1:128">
      <c r="A3" s="13" t="s">
        <v>1</v>
      </c>
      <c r="B3" s="22" t="s">
        <v>2</v>
      </c>
      <c r="C3" s="1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37">
        <f ca="1">Settings!$B$6</f>
        <v>46305</v>
      </c>
      <c r="J3" s="37">
        <f ca="1">I3+1</f>
        <v>46306</v>
      </c>
      <c r="K3" s="37">
        <f ca="1">J3+1</f>
        <v>46307</v>
      </c>
      <c r="L3" s="37">
        <f ca="1">K3+1</f>
        <v>46308</v>
      </c>
      <c r="M3" s="37">
        <f ca="1">L3+1</f>
        <v>46309</v>
      </c>
      <c r="N3" s="37">
        <f ca="1">M3+1</f>
        <v>46310</v>
      </c>
      <c r="O3" s="37">
        <f ca="1">N3+1</f>
        <v>46311</v>
      </c>
      <c r="P3" s="37">
        <f ca="1">O3+1</f>
        <v>46312</v>
      </c>
      <c r="Q3" s="37">
        <f ca="1">P3+1</f>
        <v>46313</v>
      </c>
      <c r="R3" s="37">
        <f ca="1">Q3+1</f>
        <v>46314</v>
      </c>
      <c r="S3" s="37">
        <f ca="1">R3+1</f>
        <v>46315</v>
      </c>
      <c r="T3" s="37">
        <f ca="1">S3+1</f>
        <v>46316</v>
      </c>
      <c r="U3" s="37">
        <f ca="1">T3+1</f>
        <v>46317</v>
      </c>
      <c r="V3" s="37">
        <f ca="1">U3+1</f>
        <v>46318</v>
      </c>
      <c r="W3" s="37">
        <f ca="1">V3+1</f>
        <v>46319</v>
      </c>
      <c r="X3" s="37">
        <f ca="1">W3+1</f>
        <v>46320</v>
      </c>
      <c r="Y3" s="37">
        <f ca="1">X3+1</f>
        <v>46321</v>
      </c>
      <c r="Z3" s="37">
        <f ca="1">Y3+1</f>
        <v>46322</v>
      </c>
      <c r="AA3" s="37">
        <f ca="1">Z3+1</f>
        <v>46323</v>
      </c>
      <c r="AB3" s="37">
        <f ca="1">AA3+1</f>
        <v>46324</v>
      </c>
      <c r="AC3" s="37">
        <f ca="1">AB3+1</f>
        <v>46325</v>
      </c>
      <c r="AD3" s="37">
        <f ca="1">AC3+1</f>
        <v>46326</v>
      </c>
      <c r="AE3" s="37">
        <f ca="1">AD3+1</f>
        <v>46327</v>
      </c>
      <c r="AF3" s="37">
        <f ca="1">AE3+1</f>
        <v>46328</v>
      </c>
      <c r="AG3" s="37">
        <f ca="1">AF3+1</f>
        <v>46329</v>
      </c>
      <c r="AH3" s="37">
        <f ca="1">AG3+1</f>
        <v>46330</v>
      </c>
      <c r="AI3" s="37">
        <f ca="1">AH3+1</f>
        <v>46331</v>
      </c>
      <c r="AJ3" s="37">
        <f ca="1">AI3+1</f>
        <v>46332</v>
      </c>
      <c r="AK3" s="37">
        <f ca="1">AJ3+1</f>
        <v>46333</v>
      </c>
      <c r="AL3" s="37">
        <f ca="1">AK3+1</f>
        <v>46334</v>
      </c>
      <c r="AM3" s="37">
        <f ca="1">AL3+1</f>
        <v>46335</v>
      </c>
      <c r="AN3" s="37">
        <f ca="1">AM3+1</f>
        <v>46336</v>
      </c>
      <c r="AO3" s="37">
        <f ca="1">AN3+1</f>
        <v>46337</v>
      </c>
      <c r="AP3" s="37">
        <f ca="1">AO3+1</f>
        <v>46338</v>
      </c>
      <c r="AQ3" s="37">
        <f ca="1">AP3+1</f>
        <v>46339</v>
      </c>
      <c r="AR3" s="37">
        <f ca="1">AQ3+1</f>
        <v>46340</v>
      </c>
      <c r="AS3" s="37">
        <f ca="1">AR3+1</f>
        <v>46341</v>
      </c>
      <c r="AT3" s="37">
        <f ca="1">AS3+1</f>
        <v>46342</v>
      </c>
      <c r="AU3" s="37">
        <f ca="1">AT3+1</f>
        <v>46343</v>
      </c>
      <c r="AV3" s="37">
        <f ca="1">AU3+1</f>
        <v>46344</v>
      </c>
      <c r="AW3" s="37">
        <f ca="1">AV3+1</f>
        <v>46345</v>
      </c>
      <c r="AX3" s="37">
        <f ca="1">AW3+1</f>
        <v>46346</v>
      </c>
      <c r="AY3" s="37">
        <f ca="1">AX3+1</f>
        <v>46347</v>
      </c>
      <c r="AZ3" s="37">
        <f ca="1">AY3+1</f>
        <v>46348</v>
      </c>
      <c r="BA3" s="37">
        <f ca="1">AZ3+1</f>
        <v>46349</v>
      </c>
      <c r="BB3" s="37">
        <f ca="1">BA3+1</f>
        <v>46350</v>
      </c>
      <c r="BC3" s="37">
        <f ca="1">BB3+1</f>
        <v>46351</v>
      </c>
      <c r="BD3" s="37">
        <f ca="1">BC3+1</f>
        <v>46352</v>
      </c>
      <c r="BE3" s="37">
        <f ca="1">BD3+1</f>
        <v>46353</v>
      </c>
      <c r="BF3" s="37">
        <f ca="1">BE3+1</f>
        <v>46354</v>
      </c>
      <c r="BG3" s="37">
        <f ca="1">BF3+1</f>
        <v>46355</v>
      </c>
      <c r="BH3" s="37">
        <f ca="1">BG3+1</f>
        <v>46356</v>
      </c>
      <c r="BI3" s="37">
        <f ca="1">BH3+1</f>
        <v>46357</v>
      </c>
      <c r="BJ3" s="37">
        <f ca="1">BI3+1</f>
        <v>46358</v>
      </c>
      <c r="BK3" s="37">
        <f ca="1">BJ3+1</f>
        <v>46359</v>
      </c>
      <c r="BL3" s="37">
        <f ca="1">BK3+1</f>
        <v>46360</v>
      </c>
      <c r="BM3" s="37">
        <f ca="1">BL3+1</f>
        <v>46361</v>
      </c>
      <c r="BN3" s="37">
        <f ca="1">BM3+1</f>
        <v>46362</v>
      </c>
      <c r="BO3" s="37">
        <f ca="1">BN3+1</f>
        <v>46363</v>
      </c>
      <c r="BP3" s="37">
        <f ca="1">BO3+1</f>
        <v>46364</v>
      </c>
      <c r="BQ3" s="37">
        <f ca="1">BP3+1</f>
        <v>46365</v>
      </c>
      <c r="BR3" s="37">
        <f ca="1">BQ3+1</f>
        <v>46366</v>
      </c>
      <c r="BS3" s="37">
        <f ca="1">BR3+1</f>
        <v>46367</v>
      </c>
      <c r="BT3" s="37">
        <f ca="1">BS3+1</f>
        <v>46368</v>
      </c>
      <c r="BU3" s="37">
        <f ca="1">BT3+1</f>
        <v>46369</v>
      </c>
      <c r="BV3" s="37">
        <f ca="1">BU3+1</f>
        <v>46370</v>
      </c>
      <c r="BW3" s="37">
        <f ca="1">BV3+1</f>
        <v>46371</v>
      </c>
      <c r="BX3" s="37">
        <f ca="1">BW3+1</f>
        <v>46372</v>
      </c>
      <c r="BY3" s="37">
        <f ca="1">BX3+1</f>
        <v>46373</v>
      </c>
      <c r="BZ3" s="37">
        <f ca="1">BY3+1</f>
        <v>46374</v>
      </c>
      <c r="CA3" s="37">
        <f ca="1">BZ3+1</f>
        <v>46375</v>
      </c>
      <c r="CB3" s="37">
        <f ca="1">CA3+1</f>
        <v>46376</v>
      </c>
      <c r="CC3" s="37">
        <f ca="1">CB3+1</f>
        <v>46377</v>
      </c>
      <c r="CD3" s="37">
        <f ca="1">CC3+1</f>
        <v>46378</v>
      </c>
      <c r="CE3" s="37">
        <f ca="1">CD3+1</f>
        <v>46379</v>
      </c>
      <c r="CF3" s="37">
        <f ca="1">CE3+1</f>
        <v>46380</v>
      </c>
      <c r="CG3" s="37">
        <f ca="1">CF3+1</f>
        <v>46381</v>
      </c>
      <c r="CH3" s="37">
        <f ca="1">CG3+1</f>
        <v>46382</v>
      </c>
      <c r="CI3" s="37">
        <f ca="1">CH3+1</f>
        <v>46383</v>
      </c>
      <c r="CJ3" s="37">
        <f ca="1">CI3+1</f>
        <v>46384</v>
      </c>
      <c r="CK3" s="37">
        <f ca="1">CJ3+1</f>
        <v>46385</v>
      </c>
      <c r="CL3" s="37">
        <f ca="1">CK3+1</f>
        <v>46386</v>
      </c>
      <c r="CM3" s="37">
        <f ca="1">CL3+1</f>
        <v>46387</v>
      </c>
      <c r="CN3" s="37">
        <f ca="1">CM3+1</f>
        <v>46388</v>
      </c>
      <c r="CO3" s="37">
        <f ca="1">CN3+1</f>
        <v>46389</v>
      </c>
      <c r="CP3" s="37">
        <f ca="1">CO3+1</f>
        <v>46390</v>
      </c>
      <c r="CQ3" s="37">
        <f ca="1">CP3+1</f>
        <v>46391</v>
      </c>
      <c r="CR3" s="37">
        <f ca="1">CQ3+1</f>
        <v>46392</v>
      </c>
      <c r="CS3" s="37">
        <f ca="1">CR3+1</f>
        <v>46393</v>
      </c>
      <c r="CT3" s="37">
        <f ca="1">CS3+1</f>
        <v>46394</v>
      </c>
      <c r="CU3" s="37">
        <f ca="1">CT3+1</f>
        <v>46395</v>
      </c>
      <c r="CV3" s="37">
        <f ca="1">CU3+1</f>
        <v>46396</v>
      </c>
      <c r="CW3" s="37">
        <f ca="1">CV3+1</f>
        <v>46397</v>
      </c>
      <c r="CX3" s="37">
        <f ca="1">CW3+1</f>
        <v>46398</v>
      </c>
      <c r="CY3" s="37">
        <f ca="1">CX3+1</f>
        <v>46399</v>
      </c>
      <c r="CZ3" s="37">
        <f ca="1">CY3+1</f>
        <v>46400</v>
      </c>
      <c r="DA3" s="37">
        <f ca="1">CZ3+1</f>
        <v>46401</v>
      </c>
      <c r="DB3" s="37">
        <f ca="1">DA3+1</f>
        <v>46402</v>
      </c>
      <c r="DC3" s="37">
        <f ca="1">DB3+1</f>
        <v>46403</v>
      </c>
      <c r="DD3" s="37">
        <f ca="1">DC3+1</f>
        <v>46404</v>
      </c>
      <c r="DE3" s="37">
        <f ca="1">DD3+1</f>
        <v>46405</v>
      </c>
      <c r="DF3" s="37">
        <f ca="1">DE3+1</f>
        <v>46406</v>
      </c>
      <c r="DG3" s="37">
        <f ca="1">DF3+1</f>
        <v>46407</v>
      </c>
      <c r="DH3" s="37">
        <f ca="1">DG3+1</f>
        <v>46408</v>
      </c>
      <c r="DI3" s="37">
        <f ca="1">DH3+1</f>
        <v>46409</v>
      </c>
      <c r="DJ3" s="37">
        <f ca="1">DI3+1</f>
        <v>46410</v>
      </c>
      <c r="DK3" s="37">
        <f ca="1">DJ3+1</f>
        <v>46411</v>
      </c>
      <c r="DL3" s="37">
        <f ca="1">DK3+1</f>
        <v>46412</v>
      </c>
      <c r="DM3" s="37">
        <f ca="1">DL3+1</f>
        <v>46413</v>
      </c>
      <c r="DN3" s="37">
        <f ca="1">DM3+1</f>
        <v>46414</v>
      </c>
      <c r="DO3" s="37">
        <f ca="1">DN3+1</f>
        <v>46415</v>
      </c>
      <c r="DP3" s="37">
        <f ca="1">DO3+1</f>
        <v>46416</v>
      </c>
      <c r="DQ3" s="37">
        <f ca="1">DP3+1</f>
        <v>46417</v>
      </c>
      <c r="DR3" s="37">
        <f ca="1">DQ3+1</f>
        <v>46418</v>
      </c>
      <c r="DS3" s="37">
        <f ca="1">DR3+1</f>
        <v>46419</v>
      </c>
      <c r="DT3" s="37">
        <f ca="1">DS3+1</f>
        <v>46420</v>
      </c>
      <c r="DU3" s="37">
        <f ca="1">DT3+1</f>
        <v>46421</v>
      </c>
      <c r="DV3" s="37">
        <f ca="1">DU3+1</f>
        <v>46422</v>
      </c>
      <c r="DW3" s="37">
        <f ca="1">DV3+1</f>
        <v>46423</v>
      </c>
      <c r="DX3" s="37">
        <f ca="1">DW3+1</f>
        <v>46424</v>
      </c>
    </row>
    <row r="4" spans="1:128">
      <c r="A4" s="42" t="s">
        <v>9</v>
      </c>
    </row>
    <row r="6" spans="1:128">
      <c r="A6" s="17">
        <f>Tasks!A6</f>
        <v>1</v>
      </c>
      <c r="B6" s="19" t="str">
        <f>Tasks!B6</f>
        <v>Planning</v>
      </c>
      <c r="C6" s="18" t="str">
        <f>Tasks!C6</f>
        <v>Define scope &amp; goals</v>
      </c>
      <c r="D6" s="19" t="str">
        <f>Tasks!D6</f>
        <v>John</v>
      </c>
      <c r="E6" s="20">
        <f ca="1">Tasks!E6</f>
        <v>46305</v>
      </c>
      <c r="F6" s="19">
        <f>Tasks!F6</f>
        <v>4</v>
      </c>
      <c r="G6" s="20">
        <f ca="1">Tasks!G6</f>
        <v>46309</v>
      </c>
      <c r="H6" s="26">
        <f>Tasks!H6</f>
        <v>0.5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4"/>
    </row>
    <row r="7" spans="1:128">
      <c r="A7" s="17">
        <f>Tasks!A7</f>
        <v>2</v>
      </c>
      <c r="B7" s="19" t="str">
        <f>Tasks!B7</f>
        <v>Planning</v>
      </c>
      <c r="C7" s="18" t="str">
        <f>Tasks!C7</f>
        <v>Stakeholder interviews</v>
      </c>
      <c r="D7" s="19" t="str">
        <f>Tasks!D7</f>
        <v>John</v>
      </c>
      <c r="E7" s="20">
        <f ca="1">Tasks!E7</f>
        <v>46309</v>
      </c>
      <c r="F7" s="19">
        <f>Tasks!F7</f>
        <v>3</v>
      </c>
      <c r="G7" s="20">
        <f ca="1">Tasks!G7</f>
        <v>46312</v>
      </c>
      <c r="H7" s="26">
        <f>Tasks!H7</f>
        <v>0.2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6"/>
    </row>
    <row r="8" spans="1:128">
      <c r="A8" s="17">
        <f>Tasks!A8</f>
        <v>3</v>
      </c>
      <c r="B8" s="19" t="str">
        <f>Tasks!B8</f>
        <v>Planning</v>
      </c>
      <c r="C8" s="18" t="str">
        <f>Tasks!C8</f>
        <v>Requirements doc</v>
      </c>
      <c r="D8" s="19" t="str">
        <f>Tasks!D8</f>
        <v>John</v>
      </c>
      <c r="E8" s="20">
        <f ca="1">Tasks!E8</f>
        <v>46312</v>
      </c>
      <c r="F8" s="19">
        <f>Tasks!F8</f>
        <v>5</v>
      </c>
      <c r="G8" s="20">
        <f ca="1">Tasks!G8</f>
        <v>46317</v>
      </c>
      <c r="H8" s="26">
        <f>Tasks!H8</f>
        <v>0.8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6"/>
    </row>
    <row r="9" spans="1:128">
      <c r="A9" s="17">
        <f>Tasks!A9</f>
        <v>4</v>
      </c>
      <c r="B9" s="19" t="str">
        <f>Tasks!B9</f>
        <v>Planning</v>
      </c>
      <c r="C9" s="18" t="str">
        <f>Tasks!C9</f>
        <v>Tech stack decision</v>
      </c>
      <c r="D9" s="19" t="str">
        <f>Tasks!D9</f>
        <v>Jane</v>
      </c>
      <c r="E9" s="20">
        <f ca="1">Tasks!E9</f>
        <v>46317</v>
      </c>
      <c r="F9" s="19">
        <f>Tasks!F9</f>
        <v>3</v>
      </c>
      <c r="G9" s="20">
        <f ca="1">Tasks!G9</f>
        <v>46320</v>
      </c>
      <c r="H9" s="26">
        <f>Tasks!H9</f>
        <v>0.6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6"/>
    </row>
    <row r="10" spans="1:128">
      <c r="A10" s="17">
        <f>Tasks!A10</f>
        <v>5</v>
      </c>
      <c r="B10" s="19" t="str">
        <f>Tasks!B10</f>
        <v>Design</v>
      </c>
      <c r="C10" s="18" t="str">
        <f>Tasks!C10</f>
        <v>UX wireframes</v>
      </c>
      <c r="D10" s="19" t="str">
        <f>Tasks!D10</f>
        <v>Jane</v>
      </c>
      <c r="E10" s="20">
        <f ca="1">Tasks!E10</f>
        <v>46320</v>
      </c>
      <c r="F10" s="19">
        <f>Tasks!F10</f>
        <v>6</v>
      </c>
      <c r="G10" s="20">
        <f ca="1">Tasks!G10</f>
        <v>46326</v>
      </c>
      <c r="H10" s="26">
        <f>Tasks!H10</f>
        <v>0.1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6"/>
    </row>
    <row r="11" spans="1:128">
      <c r="A11" s="17">
        <f>Tasks!A11</f>
        <v>6</v>
      </c>
      <c r="B11" s="19" t="str">
        <f>Tasks!B11</f>
        <v>Design</v>
      </c>
      <c r="C11" s="18" t="str">
        <f>Tasks!C11</f>
        <v>Design system / tokens</v>
      </c>
      <c r="D11" s="19" t="str">
        <f>Tasks!D11</f>
        <v>Jane</v>
      </c>
      <c r="E11" s="20">
        <f ca="1">Tasks!E11</f>
        <v>46326</v>
      </c>
      <c r="F11" s="19">
        <f>Tasks!F11</f>
        <v>5</v>
      </c>
      <c r="G11" s="20">
        <f ca="1">Tasks!G11</f>
        <v>46331</v>
      </c>
      <c r="H11" s="26">
        <f>Tasks!H11</f>
        <v>0.2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6"/>
    </row>
    <row r="12" spans="1:128">
      <c r="A12" s="17">
        <f>Tasks!A12</f>
        <v>7</v>
      </c>
      <c r="B12" s="19" t="str">
        <f>Tasks!B12</f>
        <v>Design</v>
      </c>
      <c r="C12" s="18" t="str">
        <f>Tasks!C12</f>
        <v>Prototype review</v>
      </c>
      <c r="D12" s="19" t="str">
        <f>Tasks!D12</f>
        <v>John</v>
      </c>
      <c r="E12" s="20">
        <f ca="1">Tasks!E12</f>
        <v>46331</v>
      </c>
      <c r="F12" s="19">
        <f>Tasks!F12</f>
        <v>3</v>
      </c>
      <c r="G12" s="20">
        <f ca="1">Tasks!G12</f>
        <v>46334</v>
      </c>
      <c r="H12" s="26">
        <f>Tasks!H12</f>
        <v>0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6"/>
    </row>
    <row r="13" spans="1:128">
      <c r="A13" s="17">
        <f>Tasks!A13</f>
        <v>8</v>
      </c>
      <c r="B13" s="19" t="str">
        <f>Tasks!B13</f>
        <v>Dev</v>
      </c>
      <c r="C13" s="18" t="str">
        <f>Tasks!C13</f>
        <v>Spreadsheet engine core</v>
      </c>
      <c r="D13" s="19" t="str">
        <f>Tasks!D13</f>
        <v>Jane</v>
      </c>
      <c r="E13" s="20">
        <f ca="1">Tasks!E13</f>
        <v>46334</v>
      </c>
      <c r="F13" s="19">
        <f>Tasks!F13</f>
        <v>8</v>
      </c>
      <c r="G13" s="20">
        <f ca="1">Tasks!G13</f>
        <v>46342</v>
      </c>
      <c r="H13" s="26">
        <f>Tasks!H13</f>
        <v>0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6"/>
    </row>
    <row r="14" spans="1:128">
      <c r="A14" s="17">
        <f>Tasks!A14</f>
        <v>9</v>
      </c>
      <c r="B14" s="19" t="str">
        <f>Tasks!B14</f>
        <v>Dev</v>
      </c>
      <c r="C14" s="18" t="str">
        <f>Tasks!C14</f>
        <v>Formula parser v2</v>
      </c>
      <c r="D14" s="19" t="str">
        <f>Tasks!D14</f>
        <v>Jane</v>
      </c>
      <c r="E14" s="20">
        <f ca="1">Tasks!E14</f>
        <v>46342</v>
      </c>
      <c r="F14" s="19">
        <f>Tasks!F14</f>
        <v>2</v>
      </c>
      <c r="G14" s="20">
        <f ca="1">Tasks!G14</f>
        <v>46344</v>
      </c>
      <c r="H14" s="26">
        <f>Tasks!H14</f>
        <v>0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6"/>
    </row>
    <row r="15" spans="1:128">
      <c r="A15" s="17">
        <f>Tasks!A15</f>
        <v>10</v>
      </c>
      <c r="B15" s="19" t="str">
        <f>Tasks!B15</f>
        <v>Dev</v>
      </c>
      <c r="C15" s="18" t="str">
        <f>Tasks!C15</f>
        <v>Frontend components</v>
      </c>
      <c r="D15" s="19" t="str">
        <f>Tasks!D15</f>
        <v>John</v>
      </c>
      <c r="E15" s="20">
        <f ca="1">Tasks!E15</f>
        <v>46344</v>
      </c>
      <c r="F15" s="19">
        <f>Tasks!F15</f>
        <v>3</v>
      </c>
      <c r="G15" s="20">
        <f ca="1">Tasks!G15</f>
        <v>46347</v>
      </c>
      <c r="H15" s="26">
        <f>Tasks!H15</f>
        <v>0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6"/>
    </row>
    <row r="16" spans="1:128">
      <c r="A16" s="17">
        <f>Tasks!A16</f>
        <v>11</v>
      </c>
      <c r="B16" s="19" t="str">
        <f>Tasks!B16</f>
        <v>Dev</v>
      </c>
      <c r="C16" s="18" t="str">
        <f>Tasks!C16</f>
        <v>WebAssembly build</v>
      </c>
      <c r="D16" s="19" t="str">
        <f>Tasks!D16</f>
        <v>John</v>
      </c>
      <c r="E16" s="20">
        <f ca="1">Tasks!E16</f>
        <v>46347</v>
      </c>
      <c r="F16" s="19">
        <f>Tasks!F16</f>
        <v>8</v>
      </c>
      <c r="G16" s="20">
        <f ca="1">Tasks!G16</f>
        <v>46355</v>
      </c>
      <c r="H16" s="26">
        <f>Tasks!H16</f>
        <v>0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6"/>
    </row>
    <row r="17" spans="1:128">
      <c r="A17" s="17">
        <f>Tasks!A17</f>
        <v>12</v>
      </c>
      <c r="B17" s="19" t="str">
        <f>Tasks!B17</f>
        <v>Dev</v>
      </c>
      <c r="C17" s="18" t="str">
        <f>Tasks!C17</f>
        <v>API integration</v>
      </c>
      <c r="D17" s="19" t="str">
        <f>Tasks!D17</f>
        <v>Jane</v>
      </c>
      <c r="E17" s="20">
        <f ca="1">Tasks!E17</f>
        <v>46355</v>
      </c>
      <c r="F17" s="19">
        <f>Tasks!F17</f>
        <v>10</v>
      </c>
      <c r="G17" s="20">
        <f ca="1">Tasks!G17</f>
        <v>46365</v>
      </c>
      <c r="H17" s="26">
        <f>Tasks!H17</f>
        <v>0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6"/>
    </row>
    <row r="18" spans="1:128">
      <c r="A18" s="17">
        <f>Tasks!A18</f>
        <v>13</v>
      </c>
      <c r="B18" s="19" t="str">
        <f>Tasks!B18</f>
        <v>Testing</v>
      </c>
      <c r="C18" s="18" t="str">
        <f>Tasks!C18</f>
        <v>Unit test suite</v>
      </c>
      <c r="D18" s="19" t="str">
        <f>Tasks!D18</f>
        <v>John</v>
      </c>
      <c r="E18" s="20">
        <f ca="1">Tasks!E18</f>
        <v>46365</v>
      </c>
      <c r="F18" s="19">
        <f>Tasks!F18</f>
        <v>6</v>
      </c>
      <c r="G18" s="20">
        <f ca="1">Tasks!G18</f>
        <v>46371</v>
      </c>
      <c r="H18" s="26">
        <f>Tasks!H18</f>
        <v>0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6"/>
    </row>
    <row r="19" spans="1:128">
      <c r="A19" s="17">
        <f>Tasks!A19</f>
        <v>14</v>
      </c>
      <c r="B19" s="19" t="str">
        <f>Tasks!B19</f>
        <v>Testing</v>
      </c>
      <c r="C19" s="18" t="str">
        <f>Tasks!C19</f>
        <v>Cross-browser QA</v>
      </c>
      <c r="D19" s="19" t="str">
        <f>Tasks!D19</f>
        <v>Jane</v>
      </c>
      <c r="E19" s="20">
        <f ca="1">Tasks!E19</f>
        <v>46371</v>
      </c>
      <c r="F19" s="19">
        <f>Tasks!F19</f>
        <v>5</v>
      </c>
      <c r="G19" s="20">
        <f ca="1">Tasks!G19</f>
        <v>46376</v>
      </c>
      <c r="H19" s="26">
        <f>Tasks!H19</f>
        <v>0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6"/>
    </row>
    <row r="20" spans="1:128">
      <c r="A20" s="17">
        <f>Tasks!A20</f>
        <v>15</v>
      </c>
      <c r="B20" s="19" t="str">
        <f>Tasks!B20</f>
        <v>Testing</v>
      </c>
      <c r="C20" s="18" t="str">
        <f>Tasks!C20</f>
        <v>Performance benchmarks</v>
      </c>
      <c r="D20" s="19" t="str">
        <f>Tasks!D20</f>
        <v>Jane</v>
      </c>
      <c r="E20" s="20">
        <f ca="1">Tasks!E20</f>
        <v>46376</v>
      </c>
      <c r="F20" s="19">
        <f>Tasks!F20</f>
        <v>5</v>
      </c>
      <c r="G20" s="20">
        <f ca="1">Tasks!G20</f>
        <v>46381</v>
      </c>
      <c r="H20" s="26">
        <f>Tasks!H20</f>
        <v>0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6"/>
    </row>
    <row r="21" spans="1:128">
      <c r="A21" s="17">
        <f>Tasks!A21</f>
        <v>16</v>
      </c>
      <c r="B21" s="19" t="str">
        <f>Tasks!B21</f>
        <v>Testing</v>
      </c>
      <c r="C21" s="18" t="str">
        <f>Tasks!C21</f>
        <v>Bug fixes</v>
      </c>
      <c r="D21" s="19" t="str">
        <f>Tasks!D21</f>
        <v>John</v>
      </c>
      <c r="E21" s="20">
        <f ca="1">Tasks!E21</f>
        <v>46381</v>
      </c>
      <c r="F21" s="19">
        <f>Tasks!F21</f>
        <v>5</v>
      </c>
      <c r="G21" s="20">
        <f ca="1">Tasks!G21</f>
        <v>46386</v>
      </c>
      <c r="H21" s="26">
        <f>Tasks!H21</f>
        <v>0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6"/>
    </row>
    <row r="22" spans="1:128">
      <c r="A22" s="17">
        <f>Tasks!A22</f>
        <v>17</v>
      </c>
      <c r="B22" s="19" t="str">
        <f>Tasks!B22</f>
        <v>Launch</v>
      </c>
      <c r="C22" s="18" t="str">
        <f>Tasks!C22</f>
        <v>Docs &amp; changelog</v>
      </c>
      <c r="D22" s="19" t="str">
        <f>Tasks!D22</f>
        <v>John</v>
      </c>
      <c r="E22" s="20">
        <f ca="1">Tasks!E22</f>
        <v>46386</v>
      </c>
      <c r="F22" s="19">
        <f>Tasks!F22</f>
        <v>4</v>
      </c>
      <c r="G22" s="20">
        <f ca="1">Tasks!G22</f>
        <v>46390</v>
      </c>
      <c r="H22" s="26">
        <f>Tasks!H22</f>
        <v>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6"/>
    </row>
    <row r="23" spans="1:128">
      <c r="A23" s="17">
        <f>Tasks!A23</f>
        <v>18</v>
      </c>
      <c r="B23" s="19" t="str">
        <f>Tasks!B23</f>
        <v>Launch</v>
      </c>
      <c r="C23" s="18" t="str">
        <f>Tasks!C23</f>
        <v>Beta release</v>
      </c>
      <c r="D23" s="19" t="str">
        <f>Tasks!D23</f>
        <v>Jane</v>
      </c>
      <c r="E23" s="20">
        <f ca="1">Tasks!E23</f>
        <v>46390</v>
      </c>
      <c r="F23" s="19">
        <f>Tasks!F23</f>
        <v>3</v>
      </c>
      <c r="G23" s="20">
        <f ca="1">Tasks!G23</f>
        <v>46393</v>
      </c>
      <c r="H23" s="26">
        <f>Tasks!H23</f>
        <v>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6"/>
    </row>
    <row r="24" spans="1:128">
      <c r="A24" s="17">
        <f>Tasks!A24</f>
        <v>19</v>
      </c>
      <c r="B24" s="19" t="str">
        <f>Tasks!B24</f>
        <v>Launch</v>
      </c>
      <c r="C24" s="18" t="str">
        <f>Tasks!C24</f>
        <v>Marketing page</v>
      </c>
      <c r="D24" s="19" t="str">
        <f>Tasks!D24</f>
        <v>Jane</v>
      </c>
      <c r="E24" s="20">
        <f ca="1">Tasks!E24</f>
        <v>46393</v>
      </c>
      <c r="F24" s="19">
        <f>Tasks!F24</f>
        <v>5</v>
      </c>
      <c r="G24" s="20">
        <f ca="1">Tasks!G24</f>
        <v>46398</v>
      </c>
      <c r="H24" s="26">
        <f>Tasks!H24</f>
        <v>0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6"/>
    </row>
    <row r="25" spans="1:128">
      <c r="A25" s="17">
        <f>Tasks!A25</f>
        <v>20</v>
      </c>
      <c r="B25" s="19" t="str">
        <f>Tasks!B25</f>
        <v>Launch</v>
      </c>
      <c r="C25" s="18" t="str">
        <f>Tasks!C25</f>
        <v>v1.0 release 🚀</v>
      </c>
      <c r="D25" s="19" t="str">
        <f>Tasks!D25</f>
        <v>John</v>
      </c>
      <c r="E25" s="20">
        <f ca="1">Tasks!E25</f>
        <v>46398</v>
      </c>
      <c r="F25" s="19">
        <f>Tasks!F25</f>
        <v>2</v>
      </c>
      <c r="G25" s="20">
        <f ca="1">Tasks!G25</f>
        <v>46400</v>
      </c>
      <c r="H25" s="26">
        <f>Tasks!H25</f>
        <v>0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6"/>
    </row>
    <row r="26" spans="1:128">
      <c r="A26" s="17"/>
      <c r="B26" s="19"/>
      <c r="C26" s="18"/>
      <c r="D26" s="19"/>
      <c r="E26" s="20"/>
      <c r="F26" s="19"/>
      <c r="G26" s="20"/>
      <c r="H26" s="26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30"/>
    </row>
    <row r="27" spans="1:128">
      <c r="A27" s="17"/>
      <c r="B27" s="19"/>
      <c r="C27" s="18"/>
      <c r="D27" s="19"/>
      <c r="E27" s="20"/>
      <c r="F27" s="19"/>
      <c r="G27" s="20"/>
      <c r="H27" s="26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31"/>
    </row>
    <row r="28" spans="1:128">
      <c r="A28" s="17"/>
      <c r="B28" s="19"/>
      <c r="C28" s="18"/>
      <c r="D28" s="19"/>
      <c r="E28" s="20"/>
      <c r="F28" s="19"/>
      <c r="G28" s="20"/>
      <c r="H28" s="26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31"/>
    </row>
    <row r="29" spans="1:128">
      <c r="A29" s="17"/>
      <c r="B29" s="19"/>
      <c r="C29" s="18"/>
      <c r="D29" s="19"/>
      <c r="E29" s="20"/>
      <c r="F29" s="19"/>
      <c r="G29" s="20"/>
      <c r="H29" s="26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31"/>
    </row>
    <row r="30" spans="1:128">
      <c r="A30" s="17"/>
      <c r="B30" s="19"/>
      <c r="C30" s="18"/>
      <c r="D30" s="19"/>
      <c r="E30" s="20"/>
      <c r="F30" s="19"/>
      <c r="G30" s="20"/>
      <c r="H30" s="26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31"/>
    </row>
    <row r="31" spans="1:128">
      <c r="A31" s="17"/>
      <c r="B31" s="19"/>
      <c r="C31" s="18"/>
      <c r="D31" s="19"/>
      <c r="E31" s="20"/>
      <c r="F31" s="19"/>
      <c r="G31" s="20"/>
      <c r="H31" s="26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31"/>
    </row>
    <row r="32" spans="1:128">
      <c r="A32" s="17"/>
      <c r="B32" s="19"/>
      <c r="C32" s="18"/>
      <c r="D32" s="19"/>
      <c r="E32" s="20"/>
      <c r="F32" s="19"/>
      <c r="G32" s="20"/>
      <c r="H32" s="26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31"/>
    </row>
    <row r="33" spans="1:128">
      <c r="A33" s="17"/>
      <c r="B33" s="19"/>
      <c r="C33" s="18"/>
      <c r="D33" s="19"/>
      <c r="E33" s="20"/>
      <c r="F33" s="19"/>
      <c r="G33" s="20"/>
      <c r="H33" s="26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31"/>
    </row>
    <row r="34" spans="1:128">
      <c r="A34" s="17"/>
      <c r="B34" s="19"/>
      <c r="C34" s="18"/>
      <c r="D34" s="19"/>
      <c r="E34" s="20"/>
      <c r="F34" s="19"/>
      <c r="G34" s="20"/>
      <c r="H34" s="26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31"/>
    </row>
    <row r="35" spans="1:128">
      <c r="A35" s="17"/>
      <c r="B35" s="19"/>
      <c r="C35" s="18"/>
      <c r="D35" s="19"/>
      <c r="E35" s="20"/>
      <c r="F35" s="19"/>
      <c r="G35" s="20"/>
      <c r="H35" s="26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31"/>
    </row>
    <row r="36" spans="1:128">
      <c r="A36" s="17"/>
      <c r="B36" s="19"/>
      <c r="C36" s="18"/>
      <c r="D36" s="19"/>
      <c r="E36" s="20"/>
      <c r="F36" s="19"/>
      <c r="G36" s="20"/>
      <c r="H36" s="26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31"/>
    </row>
    <row r="37" spans="1:128">
      <c r="A37" s="17"/>
      <c r="B37" s="19"/>
      <c r="C37" s="18"/>
      <c r="D37" s="19"/>
      <c r="E37" s="20"/>
      <c r="F37" s="19"/>
      <c r="G37" s="20"/>
      <c r="H37" s="26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31"/>
    </row>
    <row r="38" spans="1:128">
      <c r="A38" s="17"/>
      <c r="B38" s="19"/>
      <c r="C38" s="18"/>
      <c r="D38" s="19"/>
      <c r="E38" s="20"/>
      <c r="F38" s="19"/>
      <c r="G38" s="20"/>
      <c r="H38" s="26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31"/>
    </row>
    <row r="39" spans="1:128">
      <c r="A39" s="17"/>
      <c r="B39" s="19"/>
      <c r="C39" s="18"/>
      <c r="D39" s="19"/>
      <c r="E39" s="20"/>
      <c r="F39" s="19"/>
      <c r="G39" s="20"/>
      <c r="H39" s="26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31"/>
    </row>
    <row r="40" spans="1:128">
      <c r="A40" s="17"/>
      <c r="B40" s="19"/>
      <c r="C40" s="18"/>
      <c r="D40" s="19"/>
      <c r="E40" s="20"/>
      <c r="F40" s="19"/>
      <c r="G40" s="20"/>
      <c r="H40" s="26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31"/>
    </row>
    <row r="41" spans="1:128">
      <c r="A41" s="17"/>
      <c r="B41" s="19"/>
      <c r="C41" s="18"/>
      <c r="D41" s="19"/>
      <c r="E41" s="20"/>
      <c r="F41" s="19"/>
      <c r="G41" s="20"/>
      <c r="H41" s="26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31"/>
    </row>
    <row r="42" spans="1:128">
      <c r="A42" s="17"/>
      <c r="B42" s="19"/>
      <c r="C42" s="18"/>
      <c r="D42" s="19"/>
      <c r="E42" s="20"/>
      <c r="F42" s="19"/>
      <c r="G42" s="20"/>
      <c r="H42" s="26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32"/>
    </row>
  </sheetData>
  <conditionalFormatting sqref="B6:B42">
    <cfRule type="expression" dxfId="23" priority="20">
      <formula>$B6="Design"</formula>
    </cfRule>
    <cfRule type="expression" dxfId="22" priority="19">
      <formula>$B6="Planning"</formula>
    </cfRule>
    <cfRule type="expression" dxfId="21" priority="18">
      <formula>$B6="Dev"</formula>
    </cfRule>
    <cfRule type="expression" dxfId="20" priority="17">
      <formula>$B6="Testing"</formula>
    </cfRule>
    <cfRule type="expression" dxfId="19" priority="16">
      <formula>$B6="Launch"</formula>
    </cfRule>
    <cfRule type="expression" dxfId="18" priority="15">
      <formula>$B6="Others"</formula>
    </cfRule>
  </conditionalFormatting>
  <conditionalFormatting sqref="H6:H42">
    <cfRule type="dataBar" priority="14">
      <dataBar>
        <cfvo type="min"/>
        <cfvo type="max"/>
        <color theme="1"/>
      </dataBar>
      <extLst>
        <ext xmlns:x14="http://schemas.microsoft.com/office/spreadsheetml/2009/9/main" uri="{B025F937-C7B1-47D3-B67F-A62EFF666E3E}">
          <x14:id>{D3FDCBF3-C3A3-1545-8D2D-B270B67A8F05}</x14:id>
        </ext>
      </extLst>
    </cfRule>
  </conditionalFormatting>
  <conditionalFormatting sqref="I6:DX25">
    <cfRule type="expression" dxfId="17" priority="26">
      <formula>AND(I$3&gt;=$E6,I$3&lt;=$G6,$B6&lt;&gt;"Planning",$B6&lt;&gt;"Design",$B6&lt;&gt;"Dev",$B6&lt;&gt;"Testing",$B6&lt;&gt;"Launch")</formula>
    </cfRule>
    <cfRule type="expression" dxfId="16" priority="21">
      <formula>AND(I$3&gt;=$E6,I$3&lt;=$G6,$B6="Planning")</formula>
    </cfRule>
    <cfRule type="expression" dxfId="15" priority="22">
      <formula>AND(I$3&gt;=$E6,I$3&lt;=$G6,$B6="Design")</formula>
    </cfRule>
    <cfRule type="expression" dxfId="14" priority="23">
      <formula>AND(I$3&gt;=$E6,I$3&lt;=$G6,$B6="Dev")</formula>
    </cfRule>
    <cfRule type="expression" dxfId="13" priority="24">
      <formula>AND(I$3&gt;=$E6,I$3&lt;=$G6,$B6="Testing")</formula>
    </cfRule>
    <cfRule type="expression" dxfId="12" priority="25">
      <formula>AND(I$3&gt;=$E6,I$3&lt;=$G6,$B6="Launch")</formula>
    </cfRule>
  </conditionalFormatting>
  <conditionalFormatting sqref="I26:DX42">
    <cfRule type="expression" dxfId="11" priority="6">
      <formula>AND(I26=1,$B26="Planning")</formula>
    </cfRule>
    <cfRule type="expression" dxfId="10" priority="5">
      <formula>AND(I26=1,$B26="Design")</formula>
    </cfRule>
    <cfRule type="expression" dxfId="9" priority="4">
      <formula>AND(I26=1,$B26="Dev")</formula>
    </cfRule>
    <cfRule type="expression" dxfId="8" priority="3">
      <formula>AND(I26=1,$B26="Testing")</formula>
    </cfRule>
    <cfRule type="expression" dxfId="7" priority="2">
      <formula>AND(I26=1,$B26="Launch")</formula>
    </cfRule>
    <cfRule type="expression" dxfId="6" priority="1">
      <formula>AND(I26=1,$B26&lt;&gt;"Planning",$B26&lt;&gt;"Design",$B26&lt;&gt;"Development",$B26&lt;&gt;"Testing",$B26&lt;&gt;"Launch")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FDCBF3-C3A3-1545-8D2D-B270B67A8F05}">
            <x14:dataBar minLength="0" maxLength="100" gradient="0">
              <x14:cfvo type="autoMin"/>
              <x14:cfvo type="autoMax"/>
              <x14:negativeFillColor rgb="FFC00000"/>
              <x14:axisColor rgb="FF000000"/>
            </x14:dataBar>
          </x14:cfRule>
          <xm:sqref>H6:H42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CDF5-F4B7-BF43-88DC-0FB21ED50D24}">
  <dimension ref="A1:I45"/>
  <sheetViews>
    <sheetView showGridLines="0" workbookViewId="0">
      <selection activeCell="E6" sqref="E6"/>
    </sheetView>
  </sheetViews>
  <sheetFormatPr defaultColWidth="11" defaultRowHeight="15.95"/>
  <cols>
    <col min="1" max="1" width="3.375" style="1" customWidth="1"/>
    <col min="2" max="2" width="10.875" style="1"/>
    <col min="3" max="3" width="33.375" style="1" customWidth="1"/>
    <col min="4" max="8" width="10.875" style="1"/>
    <col min="9" max="9" width="50" style="1" customWidth="1"/>
  </cols>
  <sheetData>
    <row r="1" spans="1:9" ht="30" customHeight="1">
      <c r="A1" s="13" t="s">
        <v>10</v>
      </c>
      <c r="B1" s="14"/>
      <c r="C1" s="14"/>
      <c r="D1" s="14"/>
      <c r="E1" s="14"/>
      <c r="F1" s="14"/>
      <c r="G1" s="14"/>
      <c r="H1" s="14"/>
      <c r="I1" s="14"/>
    </row>
    <row r="2" spans="1:9">
      <c r="A2" s="21" t="s">
        <v>11</v>
      </c>
      <c r="B2" s="14"/>
      <c r="C2" s="14"/>
      <c r="D2" s="14"/>
      <c r="E2" s="14"/>
      <c r="F2" s="14"/>
      <c r="G2" s="14"/>
      <c r="H2" s="14"/>
      <c r="I2" s="14"/>
    </row>
    <row r="3" spans="1:9">
      <c r="A3" s="22" t="s">
        <v>1</v>
      </c>
      <c r="B3" s="22" t="s">
        <v>2</v>
      </c>
      <c r="C3" s="13" t="s">
        <v>12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39" t="s">
        <v>13</v>
      </c>
    </row>
    <row r="6" spans="1:9">
      <c r="A6" s="17">
        <v>1</v>
      </c>
      <c r="B6" s="19" t="s">
        <v>14</v>
      </c>
      <c r="C6" s="18" t="s">
        <v>15</v>
      </c>
      <c r="D6" s="19" t="s">
        <v>16</v>
      </c>
      <c r="E6" s="20">
        <f ca="1">TODAY()</f>
        <v>46305</v>
      </c>
      <c r="F6" s="19">
        <v>4</v>
      </c>
      <c r="G6" s="20">
        <f ca="1">E6+F6</f>
        <v>46309</v>
      </c>
      <c r="H6" s="25">
        <v>0.5</v>
      </c>
      <c r="I6" s="19"/>
    </row>
    <row r="7" spans="1:9">
      <c r="A7" s="17">
        <v>2</v>
      </c>
      <c r="B7" s="19" t="s">
        <v>14</v>
      </c>
      <c r="C7" s="18" t="s">
        <v>17</v>
      </c>
      <c r="D7" s="19" t="s">
        <v>16</v>
      </c>
      <c r="E7" s="20">
        <f ca="1">G6</f>
        <v>46309</v>
      </c>
      <c r="F7" s="19">
        <v>3</v>
      </c>
      <c r="G7" s="20">
        <f ca="1">E7+F7</f>
        <v>46312</v>
      </c>
      <c r="H7" s="25">
        <v>0.2</v>
      </c>
      <c r="I7" s="19"/>
    </row>
    <row r="8" spans="1:9">
      <c r="A8" s="17">
        <v>3</v>
      </c>
      <c r="B8" s="19" t="s">
        <v>14</v>
      </c>
      <c r="C8" s="18" t="s">
        <v>18</v>
      </c>
      <c r="D8" s="19" t="s">
        <v>16</v>
      </c>
      <c r="E8" s="20">
        <f ca="1">G7</f>
        <v>46312</v>
      </c>
      <c r="F8" s="19">
        <v>5</v>
      </c>
      <c r="G8" s="20">
        <f ca="1">E8+F8</f>
        <v>46317</v>
      </c>
      <c r="H8" s="25">
        <v>0.8</v>
      </c>
      <c r="I8" s="19"/>
    </row>
    <row r="9" spans="1:9">
      <c r="A9" s="17">
        <v>4</v>
      </c>
      <c r="B9" s="19" t="s">
        <v>14</v>
      </c>
      <c r="C9" s="18" t="s">
        <v>19</v>
      </c>
      <c r="D9" s="19" t="s">
        <v>20</v>
      </c>
      <c r="E9" s="20">
        <f ca="1">G8</f>
        <v>46317</v>
      </c>
      <c r="F9" s="19">
        <v>3</v>
      </c>
      <c r="G9" s="20">
        <f ca="1">E9+F9</f>
        <v>46320</v>
      </c>
      <c r="H9" s="25">
        <v>0.6</v>
      </c>
      <c r="I9" s="19"/>
    </row>
    <row r="10" spans="1:9">
      <c r="A10" s="17">
        <v>5</v>
      </c>
      <c r="B10" s="19" t="s">
        <v>21</v>
      </c>
      <c r="C10" s="18" t="s">
        <v>22</v>
      </c>
      <c r="D10" s="19" t="s">
        <v>20</v>
      </c>
      <c r="E10" s="20">
        <f ca="1">G9</f>
        <v>46320</v>
      </c>
      <c r="F10" s="19">
        <v>6</v>
      </c>
      <c r="G10" s="20">
        <f ca="1">E10+F10</f>
        <v>46326</v>
      </c>
      <c r="H10" s="25">
        <v>0.1</v>
      </c>
      <c r="I10" s="19"/>
    </row>
    <row r="11" spans="1:9">
      <c r="A11" s="17">
        <v>6</v>
      </c>
      <c r="B11" s="19" t="s">
        <v>21</v>
      </c>
      <c r="C11" s="18" t="s">
        <v>23</v>
      </c>
      <c r="D11" s="19" t="s">
        <v>20</v>
      </c>
      <c r="E11" s="20">
        <f ca="1">G10</f>
        <v>46326</v>
      </c>
      <c r="F11" s="19">
        <v>5</v>
      </c>
      <c r="G11" s="20">
        <f ca="1">E11+F11</f>
        <v>46331</v>
      </c>
      <c r="H11" s="25">
        <v>0.2</v>
      </c>
      <c r="I11" s="19"/>
    </row>
    <row r="12" spans="1:9">
      <c r="A12" s="17">
        <v>7</v>
      </c>
      <c r="B12" s="19" t="s">
        <v>21</v>
      </c>
      <c r="C12" s="18" t="s">
        <v>24</v>
      </c>
      <c r="D12" s="19" t="s">
        <v>16</v>
      </c>
      <c r="E12" s="20">
        <f ca="1">G11</f>
        <v>46331</v>
      </c>
      <c r="F12" s="19">
        <v>3</v>
      </c>
      <c r="G12" s="20">
        <f ca="1">E12+F12</f>
        <v>46334</v>
      </c>
      <c r="H12" s="25">
        <v>0</v>
      </c>
      <c r="I12" s="19"/>
    </row>
    <row r="13" spans="1:9">
      <c r="A13" s="17">
        <v>8</v>
      </c>
      <c r="B13" s="19" t="s">
        <v>25</v>
      </c>
      <c r="C13" s="18" t="s">
        <v>26</v>
      </c>
      <c r="D13" s="19" t="s">
        <v>20</v>
      </c>
      <c r="E13" s="20">
        <f ca="1">G12</f>
        <v>46334</v>
      </c>
      <c r="F13" s="19">
        <v>8</v>
      </c>
      <c r="G13" s="20">
        <f ca="1">E13+F13</f>
        <v>46342</v>
      </c>
      <c r="H13" s="25">
        <v>0</v>
      </c>
      <c r="I13" s="19"/>
    </row>
    <row r="14" spans="1:9">
      <c r="A14" s="17">
        <v>9</v>
      </c>
      <c r="B14" s="19" t="s">
        <v>25</v>
      </c>
      <c r="C14" s="18" t="s">
        <v>27</v>
      </c>
      <c r="D14" s="19" t="s">
        <v>20</v>
      </c>
      <c r="E14" s="20">
        <f ca="1">G13</f>
        <v>46342</v>
      </c>
      <c r="F14" s="19">
        <v>2</v>
      </c>
      <c r="G14" s="20">
        <f ca="1">E14+F14</f>
        <v>46344</v>
      </c>
      <c r="H14" s="25">
        <v>0</v>
      </c>
      <c r="I14" s="19"/>
    </row>
    <row r="15" spans="1:9">
      <c r="A15" s="17">
        <v>10</v>
      </c>
      <c r="B15" s="19" t="s">
        <v>25</v>
      </c>
      <c r="C15" s="18" t="s">
        <v>28</v>
      </c>
      <c r="D15" s="19" t="s">
        <v>16</v>
      </c>
      <c r="E15" s="20">
        <f ca="1">G14</f>
        <v>46344</v>
      </c>
      <c r="F15" s="19">
        <v>3</v>
      </c>
      <c r="G15" s="20">
        <f ca="1">E15+F15</f>
        <v>46347</v>
      </c>
      <c r="H15" s="25">
        <v>0</v>
      </c>
      <c r="I15" s="19"/>
    </row>
    <row r="16" spans="1:9">
      <c r="A16" s="17">
        <v>11</v>
      </c>
      <c r="B16" s="19" t="s">
        <v>25</v>
      </c>
      <c r="C16" s="18" t="s">
        <v>29</v>
      </c>
      <c r="D16" s="19" t="s">
        <v>16</v>
      </c>
      <c r="E16" s="20">
        <f ca="1">G15</f>
        <v>46347</v>
      </c>
      <c r="F16" s="19">
        <v>8</v>
      </c>
      <c r="G16" s="20">
        <f ca="1">E16+F16</f>
        <v>46355</v>
      </c>
      <c r="H16" s="25">
        <v>0</v>
      </c>
      <c r="I16" s="19"/>
    </row>
    <row r="17" spans="1:9">
      <c r="A17" s="17">
        <v>12</v>
      </c>
      <c r="B17" s="19" t="s">
        <v>25</v>
      </c>
      <c r="C17" s="18" t="s">
        <v>30</v>
      </c>
      <c r="D17" s="19" t="s">
        <v>20</v>
      </c>
      <c r="E17" s="20">
        <f ca="1">G16</f>
        <v>46355</v>
      </c>
      <c r="F17" s="19">
        <v>10</v>
      </c>
      <c r="G17" s="20">
        <f ca="1">E17+F17</f>
        <v>46365</v>
      </c>
      <c r="H17" s="25">
        <v>0</v>
      </c>
      <c r="I17" s="19"/>
    </row>
    <row r="18" spans="1:9">
      <c r="A18" s="17">
        <v>13</v>
      </c>
      <c r="B18" s="19" t="s">
        <v>31</v>
      </c>
      <c r="C18" s="18" t="s">
        <v>32</v>
      </c>
      <c r="D18" s="19" t="s">
        <v>16</v>
      </c>
      <c r="E18" s="20">
        <f ca="1">G17</f>
        <v>46365</v>
      </c>
      <c r="F18" s="19">
        <v>6</v>
      </c>
      <c r="G18" s="20">
        <f ca="1">E18+F18</f>
        <v>46371</v>
      </c>
      <c r="H18" s="25">
        <v>0</v>
      </c>
      <c r="I18" s="19"/>
    </row>
    <row r="19" spans="1:9">
      <c r="A19" s="17">
        <v>14</v>
      </c>
      <c r="B19" s="19" t="s">
        <v>31</v>
      </c>
      <c r="C19" s="18" t="s">
        <v>33</v>
      </c>
      <c r="D19" s="19" t="s">
        <v>20</v>
      </c>
      <c r="E19" s="20">
        <f ca="1">G18</f>
        <v>46371</v>
      </c>
      <c r="F19" s="19">
        <v>5</v>
      </c>
      <c r="G19" s="20">
        <f ca="1">E19+F19</f>
        <v>46376</v>
      </c>
      <c r="H19" s="25">
        <v>0</v>
      </c>
      <c r="I19" s="19"/>
    </row>
    <row r="20" spans="1:9">
      <c r="A20" s="17">
        <v>15</v>
      </c>
      <c r="B20" s="19" t="s">
        <v>31</v>
      </c>
      <c r="C20" s="18" t="s">
        <v>34</v>
      </c>
      <c r="D20" s="19" t="s">
        <v>20</v>
      </c>
      <c r="E20" s="20">
        <f ca="1">G19</f>
        <v>46376</v>
      </c>
      <c r="F20" s="19">
        <v>5</v>
      </c>
      <c r="G20" s="20">
        <f ca="1">E20+F20</f>
        <v>46381</v>
      </c>
      <c r="H20" s="25">
        <v>0</v>
      </c>
      <c r="I20" s="19"/>
    </row>
    <row r="21" spans="1:9">
      <c r="A21" s="17">
        <v>16</v>
      </c>
      <c r="B21" s="19" t="s">
        <v>31</v>
      </c>
      <c r="C21" s="18" t="s">
        <v>35</v>
      </c>
      <c r="D21" s="19" t="s">
        <v>16</v>
      </c>
      <c r="E21" s="20">
        <f ca="1">G20</f>
        <v>46381</v>
      </c>
      <c r="F21" s="19">
        <v>5</v>
      </c>
      <c r="G21" s="20">
        <f ca="1">E21+F21</f>
        <v>46386</v>
      </c>
      <c r="H21" s="25">
        <v>0</v>
      </c>
      <c r="I21" s="19"/>
    </row>
    <row r="22" spans="1:9">
      <c r="A22" s="17">
        <v>17</v>
      </c>
      <c r="B22" s="19" t="s">
        <v>36</v>
      </c>
      <c r="C22" s="18" t="s">
        <v>37</v>
      </c>
      <c r="D22" s="19" t="s">
        <v>16</v>
      </c>
      <c r="E22" s="20">
        <f ca="1">G21</f>
        <v>46386</v>
      </c>
      <c r="F22" s="19">
        <v>4</v>
      </c>
      <c r="G22" s="20">
        <f ca="1">E22+F22</f>
        <v>46390</v>
      </c>
      <c r="H22" s="25">
        <v>0</v>
      </c>
      <c r="I22" s="19"/>
    </row>
    <row r="23" spans="1:9">
      <c r="A23" s="17">
        <v>18</v>
      </c>
      <c r="B23" s="19" t="s">
        <v>36</v>
      </c>
      <c r="C23" s="18" t="s">
        <v>38</v>
      </c>
      <c r="D23" s="19" t="s">
        <v>20</v>
      </c>
      <c r="E23" s="20">
        <f ca="1">G22</f>
        <v>46390</v>
      </c>
      <c r="F23" s="19">
        <v>3</v>
      </c>
      <c r="G23" s="20">
        <f ca="1">E23+F23</f>
        <v>46393</v>
      </c>
      <c r="H23" s="25">
        <v>0</v>
      </c>
      <c r="I23" s="19"/>
    </row>
    <row r="24" spans="1:9">
      <c r="A24" s="17">
        <v>19</v>
      </c>
      <c r="B24" s="19" t="s">
        <v>36</v>
      </c>
      <c r="C24" s="18" t="s">
        <v>39</v>
      </c>
      <c r="D24" s="19" t="s">
        <v>20</v>
      </c>
      <c r="E24" s="20">
        <f ca="1">G23</f>
        <v>46393</v>
      </c>
      <c r="F24" s="19">
        <v>5</v>
      </c>
      <c r="G24" s="20">
        <f ca="1">E24+F24</f>
        <v>46398</v>
      </c>
      <c r="H24" s="25">
        <v>0</v>
      </c>
      <c r="I24" s="19"/>
    </row>
    <row r="25" spans="1:9">
      <c r="A25" s="17">
        <v>20</v>
      </c>
      <c r="B25" s="19" t="s">
        <v>36</v>
      </c>
      <c r="C25" s="18" t="s">
        <v>40</v>
      </c>
      <c r="D25" s="19" t="s">
        <v>16</v>
      </c>
      <c r="E25" s="20">
        <f ca="1">G24</f>
        <v>46398</v>
      </c>
      <c r="F25" s="19">
        <v>2</v>
      </c>
      <c r="G25" s="20">
        <f ca="1">E25+F25</f>
        <v>46400</v>
      </c>
      <c r="H25" s="25">
        <v>0</v>
      </c>
      <c r="I25" s="19"/>
    </row>
    <row r="26" spans="1:9">
      <c r="A26" s="17">
        <v>21</v>
      </c>
      <c r="B26" s="19"/>
      <c r="C26" s="18"/>
      <c r="D26" s="19"/>
      <c r="E26" s="19"/>
      <c r="F26" s="19"/>
      <c r="G26" s="19"/>
      <c r="H26" s="25"/>
      <c r="I26" s="19"/>
    </row>
    <row r="27" spans="1:9">
      <c r="A27" s="17">
        <v>22</v>
      </c>
      <c r="B27" s="19"/>
      <c r="C27" s="18"/>
      <c r="D27" s="19"/>
      <c r="E27" s="19"/>
      <c r="F27" s="19"/>
      <c r="G27" s="19"/>
      <c r="H27" s="25"/>
      <c r="I27" s="19"/>
    </row>
    <row r="28" spans="1:9">
      <c r="A28" s="17">
        <v>23</v>
      </c>
      <c r="B28" s="19"/>
      <c r="C28" s="18"/>
      <c r="D28" s="19"/>
      <c r="E28" s="19"/>
      <c r="F28" s="19"/>
      <c r="G28" s="19"/>
      <c r="H28" s="25"/>
      <c r="I28" s="19"/>
    </row>
    <row r="29" spans="1:9">
      <c r="A29" s="17">
        <v>24</v>
      </c>
      <c r="B29" s="19"/>
      <c r="C29" s="18"/>
      <c r="D29" s="19"/>
      <c r="E29" s="19"/>
      <c r="F29" s="19"/>
      <c r="G29" s="19"/>
      <c r="H29" s="25"/>
      <c r="I29" s="19"/>
    </row>
    <row r="30" spans="1:9">
      <c r="A30" s="17">
        <v>25</v>
      </c>
      <c r="B30" s="19"/>
      <c r="C30" s="18"/>
      <c r="D30" s="19"/>
      <c r="E30" s="19"/>
      <c r="F30" s="19"/>
      <c r="G30" s="19"/>
      <c r="H30" s="25"/>
      <c r="I30" s="19"/>
    </row>
    <row r="31" spans="1:9">
      <c r="A31" s="17">
        <v>26</v>
      </c>
      <c r="B31" s="19"/>
      <c r="C31" s="18"/>
      <c r="D31" s="19"/>
      <c r="E31" s="19"/>
      <c r="F31" s="19"/>
      <c r="G31" s="19"/>
      <c r="H31" s="25"/>
      <c r="I31" s="19"/>
    </row>
    <row r="32" spans="1:9">
      <c r="A32" s="17">
        <v>27</v>
      </c>
      <c r="B32" s="19"/>
      <c r="C32" s="18"/>
      <c r="D32" s="19"/>
      <c r="E32" s="19"/>
      <c r="F32" s="19"/>
      <c r="G32" s="19"/>
      <c r="H32" s="25"/>
      <c r="I32" s="19"/>
    </row>
    <row r="33" spans="1:9">
      <c r="A33" s="17">
        <v>28</v>
      </c>
      <c r="B33" s="19"/>
      <c r="C33" s="18"/>
      <c r="D33" s="19"/>
      <c r="E33" s="19"/>
      <c r="F33" s="19"/>
      <c r="G33" s="19"/>
      <c r="H33" s="25"/>
      <c r="I33" s="19"/>
    </row>
    <row r="34" spans="1:9">
      <c r="A34" s="17">
        <v>29</v>
      </c>
      <c r="B34" s="19"/>
      <c r="C34" s="18"/>
      <c r="D34" s="19"/>
      <c r="E34" s="19"/>
      <c r="F34" s="19"/>
      <c r="G34" s="19"/>
      <c r="H34" s="25"/>
      <c r="I34" s="19"/>
    </row>
    <row r="35" spans="1:9">
      <c r="A35" s="17">
        <v>30</v>
      </c>
      <c r="B35" s="19"/>
      <c r="C35" s="18"/>
      <c r="D35" s="19"/>
      <c r="E35" s="19"/>
      <c r="F35" s="19"/>
      <c r="G35" s="19"/>
      <c r="H35" s="25"/>
      <c r="I35" s="19"/>
    </row>
    <row r="36" spans="1:9">
      <c r="A36" s="17">
        <v>31</v>
      </c>
      <c r="B36" s="19"/>
      <c r="C36" s="18"/>
      <c r="D36" s="19"/>
      <c r="E36" s="19"/>
      <c r="F36" s="19"/>
      <c r="G36" s="19"/>
      <c r="H36" s="25"/>
      <c r="I36" s="19"/>
    </row>
    <row r="37" spans="1:9">
      <c r="A37" s="17">
        <v>32</v>
      </c>
      <c r="B37" s="19"/>
      <c r="C37" s="18"/>
      <c r="D37" s="19"/>
      <c r="E37" s="19"/>
      <c r="F37" s="19"/>
      <c r="G37" s="19"/>
      <c r="H37" s="25"/>
      <c r="I37" s="19"/>
    </row>
    <row r="38" spans="1:9">
      <c r="A38" s="17">
        <v>33</v>
      </c>
      <c r="B38" s="19"/>
      <c r="C38" s="18"/>
      <c r="D38" s="19"/>
      <c r="E38" s="19"/>
      <c r="F38" s="19"/>
      <c r="G38" s="19"/>
      <c r="H38" s="25"/>
      <c r="I38" s="19"/>
    </row>
    <row r="39" spans="1:9">
      <c r="A39" s="17">
        <v>34</v>
      </c>
      <c r="B39" s="19"/>
      <c r="C39" s="18"/>
      <c r="D39" s="19"/>
      <c r="E39" s="19"/>
      <c r="F39" s="19"/>
      <c r="G39" s="19"/>
      <c r="H39" s="25"/>
      <c r="I39" s="19"/>
    </row>
    <row r="40" spans="1:9">
      <c r="A40" s="17">
        <v>35</v>
      </c>
      <c r="B40" s="19"/>
      <c r="C40" s="18"/>
      <c r="D40" s="19"/>
      <c r="E40" s="19"/>
      <c r="F40" s="19"/>
      <c r="G40" s="19"/>
      <c r="H40" s="25"/>
      <c r="I40" s="19"/>
    </row>
    <row r="41" spans="1:9">
      <c r="A41" s="17">
        <v>36</v>
      </c>
      <c r="B41" s="19"/>
      <c r="C41" s="18"/>
      <c r="D41" s="19"/>
      <c r="E41" s="19"/>
      <c r="F41" s="19"/>
      <c r="G41" s="19"/>
      <c r="H41" s="25"/>
      <c r="I41" s="19"/>
    </row>
    <row r="42" spans="1:9">
      <c r="A42" s="17">
        <v>37</v>
      </c>
      <c r="B42" s="19"/>
      <c r="C42" s="18"/>
      <c r="D42" s="19"/>
      <c r="E42" s="19"/>
      <c r="F42" s="19"/>
      <c r="G42" s="19"/>
      <c r="H42" s="25"/>
      <c r="I42" s="19"/>
    </row>
    <row r="43" spans="1:9">
      <c r="A43" s="17">
        <v>38</v>
      </c>
      <c r="B43" s="19"/>
      <c r="C43" s="18"/>
      <c r="D43" s="19"/>
      <c r="E43" s="19"/>
      <c r="F43" s="19"/>
      <c r="G43" s="19"/>
      <c r="H43" s="25"/>
      <c r="I43" s="19"/>
    </row>
    <row r="44" spans="1:9">
      <c r="A44" s="17">
        <v>39</v>
      </c>
      <c r="B44" s="19"/>
      <c r="C44" s="18"/>
      <c r="D44" s="19"/>
      <c r="E44" s="19"/>
      <c r="F44" s="19"/>
      <c r="G44" s="19"/>
      <c r="H44" s="25"/>
      <c r="I44" s="19"/>
    </row>
    <row r="45" spans="1:9">
      <c r="A45" s="17">
        <v>40</v>
      </c>
      <c r="B45" s="19"/>
      <c r="C45" s="18"/>
      <c r="D45" s="19"/>
      <c r="E45" s="19"/>
      <c r="F45" s="19"/>
      <c r="G45" s="19"/>
      <c r="H45" s="25"/>
      <c r="I45" s="19"/>
    </row>
  </sheetData>
  <conditionalFormatting sqref="B6:B45">
    <cfRule type="expression" dxfId="5" priority="1">
      <formula>$B6="Others"</formula>
    </cfRule>
    <cfRule type="expression" dxfId="4" priority="2">
      <formula>$B6="Launch"</formula>
    </cfRule>
    <cfRule type="expression" dxfId="3" priority="3">
      <formula>$B6="Testing"</formula>
    </cfRule>
    <cfRule type="expression" dxfId="2" priority="4">
      <formula>$B6="Dev"</formula>
    </cfRule>
    <cfRule type="expression" dxfId="1" priority="5">
      <formula>$B6="Planning"</formula>
    </cfRule>
    <cfRule type="expression" dxfId="0" priority="6">
      <formula>$B6="Design"</formula>
    </cfRule>
  </conditionalFormatting>
  <conditionalFormatting sqref="H6:H45">
    <cfRule type="dataBar" priority="7">
      <dataBar>
        <cfvo type="min"/>
        <cfvo type="max"/>
        <color theme="1"/>
      </dataBar>
      <extLst>
        <ext xmlns:x14="http://schemas.microsoft.com/office/spreadsheetml/2009/9/main" uri="{B025F937-C7B1-47D3-B67F-A62EFF666E3E}">
          <x14:id>{A908DCAD-C88B-3649-864B-AB56244CE031}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08DCAD-C88B-3649-864B-AB56244CE031}">
            <x14:dataBar minLength="0" maxLength="100" gradient="0">
              <x14:cfvo type="autoMin"/>
              <x14:cfvo type="autoMax"/>
              <x14:negativeFillColor rgb="FFC00000"/>
              <x14:axisColor rgb="FF000000"/>
            </x14:dataBar>
          </x14:cfRule>
          <xm:sqref>H6:H45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5F8D-E34E-C04C-A1EC-5723A33F4D5C}">
  <dimension ref="A1:C21"/>
  <sheetViews>
    <sheetView showGridLines="0" workbookViewId="0">
      <selection activeCell="B3" sqref="B3"/>
    </sheetView>
  </sheetViews>
  <sheetFormatPr defaultColWidth="11" defaultRowHeight="15.95"/>
  <cols>
    <col min="1" max="2" width="13.375" customWidth="1"/>
    <col min="3" max="3" width="34.125" bestFit="1" customWidth="1"/>
  </cols>
  <sheetData>
    <row r="1" spans="1:3" ht="30" customHeight="1">
      <c r="A1" s="13" t="s">
        <v>41</v>
      </c>
      <c r="B1" s="15"/>
      <c r="C1" s="15"/>
    </row>
    <row r="2" spans="1:3" ht="18" customHeight="1"/>
    <row r="3" spans="1:3" ht="17.100000000000001" customHeight="1">
      <c r="A3" s="2" t="s">
        <v>42</v>
      </c>
      <c r="B3" s="3" t="s">
        <v>43</v>
      </c>
      <c r="C3" s="5" t="s">
        <v>44</v>
      </c>
    </row>
    <row r="6" spans="1:3">
      <c r="A6" s="2" t="s">
        <v>45</v>
      </c>
      <c r="B6" s="4">
        <f ca="1">_xlfn.MINIFS(Tasks!E6:E45,Tasks!C6:C45,"&lt;&gt;")</f>
        <v>46305</v>
      </c>
      <c r="C6" s="5" t="s">
        <v>46</v>
      </c>
    </row>
    <row r="7" spans="1:3">
      <c r="A7" s="2" t="s">
        <v>47</v>
      </c>
      <c r="B7" s="3">
        <v>120</v>
      </c>
      <c r="C7" s="5" t="s">
        <v>48</v>
      </c>
    </row>
    <row r="8" spans="1:3">
      <c r="A8" s="2" t="s">
        <v>49</v>
      </c>
      <c r="B8" s="4">
        <f ca="1">TODAY()</f>
        <v>46305</v>
      </c>
      <c r="C8" s="5" t="s">
        <v>50</v>
      </c>
    </row>
    <row r="9" spans="1:3">
      <c r="A9" s="2" t="s">
        <v>51</v>
      </c>
      <c r="B9" s="3" t="s">
        <v>16</v>
      </c>
      <c r="C9" s="1"/>
    </row>
    <row r="10" spans="1:3">
      <c r="A10" s="2" t="s">
        <v>52</v>
      </c>
      <c r="B10" s="3" t="s">
        <v>20</v>
      </c>
      <c r="C10" s="1"/>
    </row>
    <row r="11" spans="1:3">
      <c r="A11" s="2" t="s">
        <v>53</v>
      </c>
      <c r="B11" s="3"/>
      <c r="C11" s="1"/>
    </row>
    <row r="12" spans="1:3">
      <c r="A12" s="2" t="s">
        <v>54</v>
      </c>
      <c r="B12" s="3"/>
      <c r="C12" s="1"/>
    </row>
    <row r="13" spans="1:3">
      <c r="A13" s="1"/>
      <c r="B13" s="1"/>
      <c r="C13" s="1"/>
    </row>
    <row r="14" spans="1:3" ht="30" customHeight="1">
      <c r="A14" s="16" t="s">
        <v>55</v>
      </c>
      <c r="B14" s="15"/>
      <c r="C14" s="15"/>
    </row>
    <row r="15" spans="1:3">
      <c r="A15" s="1"/>
      <c r="B15" s="1"/>
      <c r="C15" s="1"/>
    </row>
    <row r="16" spans="1:3">
      <c r="A16" s="6" t="s">
        <v>14</v>
      </c>
      <c r="B16" s="1"/>
      <c r="C16" s="1"/>
    </row>
    <row r="17" spans="1:3">
      <c r="A17" s="7" t="s">
        <v>21</v>
      </c>
      <c r="B17" s="1"/>
      <c r="C17" s="1"/>
    </row>
    <row r="18" spans="1:3">
      <c r="A18" s="8" t="s">
        <v>25</v>
      </c>
      <c r="B18" s="1"/>
      <c r="C18" s="1"/>
    </row>
    <row r="19" spans="1:3">
      <c r="A19" s="9" t="s">
        <v>31</v>
      </c>
      <c r="B19" s="1"/>
      <c r="C19" s="1"/>
    </row>
    <row r="20" spans="1:3">
      <c r="A20" s="10" t="s">
        <v>36</v>
      </c>
      <c r="B20" s="1"/>
      <c r="C20" s="1"/>
    </row>
    <row r="21" spans="1:3">
      <c r="A21" s="11" t="s">
        <v>56</v>
      </c>
      <c r="B21" s="1"/>
      <c r="C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2A5A-BD4F-7841-97DE-D0D54C9C4CE1}">
  <dimension ref="A2:B3"/>
  <sheetViews>
    <sheetView workbookViewId="0">
      <selection activeCell="A2" sqref="A2:B2"/>
    </sheetView>
  </sheetViews>
  <sheetFormatPr defaultColWidth="11" defaultRowHeight="15.95"/>
  <cols>
    <col min="2" max="2" width="12.375" bestFit="1" customWidth="1"/>
  </cols>
  <sheetData>
    <row r="2" spans="1:2">
      <c r="A2" t="s">
        <v>57</v>
      </c>
      <c r="B2" s="41">
        <f ca="1">NOW()</f>
        <v>46305.999013657405</v>
      </c>
    </row>
    <row r="3" spans="1:2">
      <c r="B3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Normal="100" zoomScaleSheetLayoutView="100" workbookViewId="0"/>
  </sheetViews>
  <sheetFormatPr defaultRowHeight="15"/>
  <sheetData>
    <row r="1" spans="1:2">
      <c r="A1">
        <f ca="1">COUNTA(Plan!A1:Z200)</f>
        <v>207</v>
      </c>
      <c r="B1" s="43">
        <v>1234.5</v>
      </c>
    </row>
    <row r="2" spans="1:2">
      <c r="A2" cm="1">
        <f t="array" ref="A2:A4">_xlfn.SEQUENCE(3)</f>
        <v>1</v>
      </c>
    </row>
    <row r="3" spans="1:2">
      <c r="A3">
        <v>2</v>
      </c>
    </row>
    <row r="4" spans="1:2">
      <c r="A4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/>
  <cp:revision/>
  <dcterms:created xsi:type="dcterms:W3CDTF">2026-07-22T11:27:21Z</dcterms:created>
  <dcterms:modified xsi:type="dcterms:W3CDTF">2026-10-10T20:59:16Z</dcterms:modified>
  <cp:category/>
  <cp:contentStatus/>
</cp:coreProperties>
</file>