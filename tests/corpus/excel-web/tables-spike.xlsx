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 defaultThemeVersion="166925"/>
  <xr:revisionPtr revIDLastSave="0" documentId="8_{0B01A1E6-29CE-4886-9C11-A00F975DFA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ik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F12" i="1"/>
  <c r="F11" i="1"/>
  <c r="F10" i="1"/>
  <c r="F9" i="1"/>
  <c r="F8" i="1"/>
  <c r="A8" i="1"/>
  <c r="F2" i="1"/>
  <c r="F1" i="1"/>
</calcChain>
</file>

<file path=xl/sharedStrings.xml><?xml version="1.0" encoding="utf-8"?>
<sst xmlns="http://schemas.openxmlformats.org/spreadsheetml/2006/main" count="41" uniqueCount="38">
  <si>
    <t>Val</t>
  </si>
  <si>
    <t>Grp</t>
  </si>
  <si>
    <t>F1: Sales[[#This Row],[Val]]</t>
  </si>
  <si>
    <t>x</t>
  </si>
  <si>
    <t>F2: Sales[[#This Row],[Val]]</t>
  </si>
  <si>
    <t>y</t>
  </si>
  <si>
    <t>z</t>
  </si>
  <si>
    <t>Total</t>
  </si>
  <si>
    <t>F8: Sales[[#This Row],[Val]]</t>
  </si>
  <si>
    <t>F9: Sales[[#This Row],[Val]]</t>
  </si>
  <si>
    <t>F10: Plain[[#This Row],[Num]]</t>
  </si>
  <si>
    <t>Num</t>
  </si>
  <si>
    <t>F11: Plain[[#This Row],[Num]]</t>
  </si>
  <si>
    <t>F12: Plain[[#This Row],[Num]]</t>
  </si>
  <si>
    <t>2*3</t>
  </si>
  <si>
    <t>SUM(Sales[Val])</t>
  </si>
  <si>
    <t>SUBTOTAL(9,Sales[Val])</t>
  </si>
  <si>
    <t>SUBTOTAL(109,Sales[Val])</t>
  </si>
  <si>
    <t>SUBTOTAL(9,A2:A7)</t>
  </si>
  <si>
    <t>AGGREGATE(9,0,Sales[Val])</t>
  </si>
  <si>
    <t>AGGREGATE(9,1,Sales[Val])</t>
  </si>
  <si>
    <t>AGGREGATE(9,2,Sales[Val])</t>
  </si>
  <si>
    <t>AGGREGATE(9,3,Sales[Val])</t>
  </si>
  <si>
    <t>AGGREGATE(9,4,Sales[Val])</t>
  </si>
  <si>
    <t>AGGREGATE(9,5,Sales[Val])</t>
  </si>
  <si>
    <t>AGGREGATE(9,6,Sales[Val])</t>
  </si>
  <si>
    <t>AGGREGATE(9,7,Sales[Val])</t>
  </si>
  <si>
    <t>SUM(Plain[Num])</t>
  </si>
  <si>
    <t>SUBTOTAL(9,Plain[Num])</t>
  </si>
  <si>
    <t>SUBTOTAL(109,Plain[Num])</t>
  </si>
  <si>
    <t>AGGREGATE(9,0,Plain[Num])</t>
  </si>
  <si>
    <t>AGGREGATE(9,1,Plain[Num])</t>
  </si>
  <si>
    <t>AGGREGATE(9,2,Plain[Num])</t>
  </si>
  <si>
    <t>AGGREGATE(9,3,Plain[Num])</t>
  </si>
  <si>
    <t>AGGREGATE(9,4,Plain[Num])</t>
  </si>
  <si>
    <t>AGGREGATE(9,5,Plain[Num])</t>
  </si>
  <si>
    <t>AGGREGATE(9,6,Plain[Num])</t>
  </si>
  <si>
    <t>AGGREGATE(9,7,Plain[Num])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</si>
</sst>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B8" totalsRowCount="1">
  <autoFilter ref="A1:B7" xr:uid="{00000000-0009-0000-0100-000001000000}">
    <filterColumn colId="1">
      <filters>
        <filter val="x"/>
      </filters>
    </filterColumn>
  </autoFilter>
  <tableColumns count="2">
    <tableColumn id="1" xr3:uid="{00000000-0010-0000-0000-000001000000}" name="Val" totalsRowFunction="sum"/>
    <tableColumn id="2" xr3:uid="{00000000-0010-0000-0000-000002000000}" name="Grp" totalsRowLabel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in" displayName="Plain" ref="D11:D16" totalsRowShown="0">
  <autoFilter ref="D11:D16" xr:uid="{00000000-0009-0000-0100-000002000000}"/>
  <tableColumns count="1">
    <tableColumn id="1" xr3:uid="{00000000-0010-0000-0100-000001000000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Normal="100" zoomScaleSheetLayoutView="100" workbookViewId="0"/>
  </sheetViews>
  <sheetFormatPr defaultRowHeight="15"/>
  <sheetData>
    <row r="1" spans="1:7">
      <c r="A1" t="s">
        <v>0</v>
      </c>
      <c r="B1" t="s">
        <v>1</v>
      </c>
      <c r="F1" t="e">
        <f>Sales[[#This Row],[Val]]</f>
        <v>#VALUE!</v>
      </c>
      <c r="G1" t="s">
        <v>2</v>
      </c>
    </row>
    <row r="2" spans="1:7">
      <c r="A2">
        <v>10</v>
      </c>
      <c r="B2" t="s">
        <v>3</v>
      </c>
      <c r="F2">
        <f>Sales[[#This Row],[Val]]</f>
        <v>10</v>
      </c>
      <c r="G2" t="s">
        <v>4</v>
      </c>
    </row>
    <row r="3" spans="1:7" hidden="1">
      <c r="A3">
        <v>20</v>
      </c>
      <c r="B3" t="s">
        <v>5</v>
      </c>
    </row>
    <row r="4" spans="1:7">
      <c r="A4">
        <v>30</v>
      </c>
      <c r="B4" t="s">
        <v>3</v>
      </c>
    </row>
    <row r="5" spans="1:7" hidden="1">
      <c r="A5">
        <v>40</v>
      </c>
      <c r="B5" t="s">
        <v>5</v>
      </c>
    </row>
    <row r="6" spans="1:7" hidden="1">
      <c r="A6">
        <v>50</v>
      </c>
      <c r="B6" t="s">
        <v>6</v>
      </c>
    </row>
    <row r="7" spans="1:7">
      <c r="A7">
        <v>60</v>
      </c>
      <c r="B7" t="s">
        <v>3</v>
      </c>
    </row>
    <row r="8" spans="1:7">
      <c r="A8">
        <f>SUBTOTAL(109,Sales[Val])</f>
        <v>100</v>
      </c>
      <c r="B8" t="s">
        <v>7</v>
      </c>
      <c r="F8" t="e">
        <f>Sales[[#This Row],[Val]]</f>
        <v>#VALUE!</v>
      </c>
      <c r="G8" t="s">
        <v>8</v>
      </c>
    </row>
    <row r="9" spans="1:7">
      <c r="F9" t="e">
        <f>Sales[[#This Row],[Val]]</f>
        <v>#VALUE!</v>
      </c>
      <c r="G9" t="s">
        <v>9</v>
      </c>
    </row>
    <row r="10" spans="1:7">
      <c r="F10" t="e">
        <f>Plain[[#This Row],[Num]]</f>
        <v>#VALUE!</v>
      </c>
      <c r="G10" t="s">
        <v>10</v>
      </c>
    </row>
    <row r="11" spans="1:7">
      <c r="D11" t="s">
        <v>11</v>
      </c>
      <c r="F11" t="e">
        <f>Plain[[#This Row],[Num]]</f>
        <v>#VALUE!</v>
      </c>
      <c r="G11" t="s">
        <v>12</v>
      </c>
    </row>
    <row r="12" spans="1:7">
      <c r="D12">
        <v>1</v>
      </c>
      <c r="F12">
        <f>Plain[[#This Row],[Num]]</f>
        <v>1</v>
      </c>
      <c r="G12" t="s">
        <v>13</v>
      </c>
    </row>
    <row r="13" spans="1:7">
      <c r="D13">
        <v>2</v>
      </c>
    </row>
    <row r="14" spans="1:7" hidden="1">
      <c r="D14">
        <v>4</v>
      </c>
    </row>
    <row r="15" spans="1:7">
      <c r="D15">
        <v>8</v>
      </c>
    </row>
    <row r="16" spans="1:7">
      <c r="D16">
        <v>16</v>
      </c>
    </row>
    <row r="20" spans="8:9">
      <c r="H20" t="s">
        <v>14</v>
      </c>
      <c r="I20">
        <f>2*3</f>
        <v>6</v>
      </c>
    </row>
    <row r="21" spans="8:9">
      <c r="H21" t="s">
        <v>15</v>
      </c>
      <c r="I21">
        <f>SUM(Sales[Val])</f>
        <v>210</v>
      </c>
    </row>
    <row r="22" spans="8:9">
      <c r="H22" t="s">
        <v>16</v>
      </c>
      <c r="I22">
        <f>SUBTOTAL(9,Sales[Val])</f>
        <v>100</v>
      </c>
    </row>
    <row r="23" spans="8:9">
      <c r="H23" t="s">
        <v>17</v>
      </c>
      <c r="I23">
        <f>SUBTOTAL(109,Sales[Val])</f>
        <v>100</v>
      </c>
    </row>
    <row r="24" spans="8:9">
      <c r="H24" t="s">
        <v>18</v>
      </c>
      <c r="I24">
        <f>SUBTOTAL(9,A2:A7)</f>
        <v>100</v>
      </c>
    </row>
    <row r="25" spans="8:9">
      <c r="H25" t="s">
        <v>19</v>
      </c>
      <c r="I25">
        <f>_xlfn.AGGREGATE(9,0,Sales[Val])</f>
        <v>210</v>
      </c>
    </row>
    <row r="26" spans="8:9">
      <c r="H26" t="s">
        <v>20</v>
      </c>
      <c r="I26">
        <f>_xlfn.AGGREGATE(9,1,Sales[Val])</f>
        <v>100</v>
      </c>
    </row>
    <row r="27" spans="8:9">
      <c r="H27" t="s">
        <v>21</v>
      </c>
      <c r="I27">
        <f>_xlfn.AGGREGATE(9,2,Sales[Val])</f>
        <v>210</v>
      </c>
    </row>
    <row r="28" spans="8:9">
      <c r="H28" t="s">
        <v>22</v>
      </c>
      <c r="I28">
        <f>_xlfn.AGGREGATE(9,3,Sales[Val])</f>
        <v>100</v>
      </c>
    </row>
    <row r="29" spans="8:9">
      <c r="H29" t="s">
        <v>23</v>
      </c>
      <c r="I29">
        <f>_xlfn.AGGREGATE(9,4,Sales[Val])</f>
        <v>210</v>
      </c>
    </row>
    <row r="30" spans="8:9">
      <c r="H30" t="s">
        <v>24</v>
      </c>
      <c r="I30">
        <f>_xlfn.AGGREGATE(9,5,Sales[Val])</f>
        <v>100</v>
      </c>
    </row>
    <row r="31" spans="8:9">
      <c r="H31" t="s">
        <v>25</v>
      </c>
      <c r="I31">
        <f>_xlfn.AGGREGATE(9,6,Sales[Val])</f>
        <v>210</v>
      </c>
    </row>
    <row r="32" spans="8:9">
      <c r="H32" t="s">
        <v>26</v>
      </c>
      <c r="I32">
        <f>_xlfn.AGGREGATE(9,7,Sales[Val])</f>
        <v>100</v>
      </c>
    </row>
    <row r="33" spans="8:9">
      <c r="H33" t="s">
        <v>27</v>
      </c>
      <c r="I33">
        <f>SUM(Plain[Num])</f>
        <v>31</v>
      </c>
    </row>
    <row r="34" spans="8:9">
      <c r="H34" t="s">
        <v>28</v>
      </c>
      <c r="I34">
        <f>SUBTOTAL(9,Plain[Num])</f>
        <v>27</v>
      </c>
    </row>
    <row r="35" spans="8:9">
      <c r="H35" t="s">
        <v>29</v>
      </c>
      <c r="I35">
        <f>SUBTOTAL(109,Plain[Num])</f>
        <v>27</v>
      </c>
    </row>
    <row r="36" spans="8:9">
      <c r="H36" t="s">
        <v>30</v>
      </c>
      <c r="I36">
        <f>_xlfn.AGGREGATE(9,0,Plain[Num])</f>
        <v>31</v>
      </c>
    </row>
    <row r="37" spans="8:9">
      <c r="H37" t="s">
        <v>31</v>
      </c>
      <c r="I37">
        <f>_xlfn.AGGREGATE(9,1,Plain[Num])</f>
        <v>27</v>
      </c>
    </row>
    <row r="38" spans="8:9">
      <c r="H38" t="s">
        <v>32</v>
      </c>
      <c r="I38">
        <f>_xlfn.AGGREGATE(9,2,Plain[Num])</f>
        <v>31</v>
      </c>
    </row>
    <row r="39" spans="8:9">
      <c r="H39" t="s">
        <v>33</v>
      </c>
      <c r="I39">
        <f>_xlfn.AGGREGATE(9,3,Plain[Num])</f>
        <v>27</v>
      </c>
    </row>
    <row r="40" spans="8:9">
      <c r="H40" t="s">
        <v>34</v>
      </c>
      <c r="I40">
        <f>_xlfn.AGGREGATE(9,4,Plain[Num])</f>
        <v>31</v>
      </c>
    </row>
    <row r="41" spans="8:9">
      <c r="H41" t="s">
        <v>35</v>
      </c>
      <c r="I41">
        <f>_xlfn.AGGREGATE(9,5,Plain[Num])</f>
        <v>27</v>
      </c>
    </row>
    <row r="42" spans="8:9">
      <c r="H42" t="s">
        <v>36</v>
      </c>
      <c r="I42">
        <f>_xlfn.AGGREGATE(9,6,Plain[Num])</f>
        <v>31</v>
      </c>
    </row>
    <row r="43" spans="8:9">
      <c r="H43" t="s">
        <v>37</v>
      </c>
      <c r="I43">
        <f>_xlfn.AGGREGATE(9,7,Plain[Num])</f>
        <v>27</v>
      </c>
    </row>
  </sheetData>
  <pageMargins left="0" right="0" top="0" bottom="0" header="0" footer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2026-10-09T17:16:09Z</dcterms:created>
  <dcterms:modified xsi:type="dcterms:W3CDTF">2026-10-09T17:16:09Z</dcterms:modified>
  <cp:category/>
  <cp:contentStatus/>
</cp:coreProperties>
</file>