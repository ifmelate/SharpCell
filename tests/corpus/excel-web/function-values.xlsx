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showInkAnnotation="0" autoCompressPictures="0" defaultThemeVersion="166925"/>
  <xr:revisionPtr revIDLastSave="0" documentId="8_{7288DD5C-FCE8-473E-AA2E-9597181FE18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" sheetId="1" r:id="rId1"/>
  </sheets>
  <definedNames>
    <definedName name="Rate">0.5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9" i="1" l="1" a="1"/>
  <c r="F109" i="1"/>
  <c r="F105" i="1" a="1"/>
  <c r="F105" i="1"/>
  <c r="F101" i="1" a="1"/>
  <c r="F101" i="1"/>
  <c r="F97" i="1" a="1"/>
  <c r="F97" i="1"/>
  <c r="F93" i="1" a="1"/>
  <c r="F93" i="1"/>
  <c r="F89" i="1" a="1"/>
  <c r="F89" i="1"/>
  <c r="F85" i="1" a="1"/>
  <c r="F85" i="1"/>
  <c r="F81" i="1" a="1"/>
  <c r="F81" i="1"/>
  <c r="F77" i="1" a="1"/>
  <c r="F77" i="1"/>
  <c r="F73" i="1" a="1"/>
  <c r="F73" i="1"/>
  <c r="F69" i="1" a="1"/>
  <c r="F69" i="1"/>
  <c r="F65" i="1" a="1"/>
  <c r="F65" i="1"/>
  <c r="F61" i="1" a="1"/>
  <c r="F61" i="1"/>
  <c r="F57" i="1" a="1"/>
  <c r="F57" i="1"/>
  <c r="F53" i="1" a="1"/>
  <c r="F53" i="1"/>
  <c r="F49" i="1" a="1"/>
  <c r="F49" i="1"/>
  <c r="F45" i="1" a="1"/>
  <c r="F45" i="1"/>
  <c r="F41" i="1" a="1"/>
  <c r="F41" i="1"/>
  <c r="F37" i="1" a="1"/>
  <c r="F37" i="1"/>
  <c r="F33" i="1" a="1"/>
  <c r="F33" i="1"/>
  <c r="F29" i="1" a="1"/>
  <c r="F29" i="1"/>
  <c r="F25" i="1" a="1"/>
  <c r="F25" i="1"/>
  <c r="F21" i="1" a="1"/>
  <c r="F21" i="1"/>
  <c r="F17" i="1" a="1"/>
  <c r="F17" i="1"/>
  <c r="F13" i="1" a="1"/>
  <c r="F13" i="1"/>
  <c r="F9" i="1" a="1"/>
  <c r="F9" i="1"/>
  <c r="F5" i="1" a="1"/>
  <c r="F5" i="1"/>
  <c r="F1" i="1" a="1"/>
  <c r="F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sharedStrings.xml><?xml version="1.0" encoding="utf-8"?>
<sst xmlns="http://schemas.openxmlformats.org/spreadsheetml/2006/main" count="31" uniqueCount="31">
  <si>
    <t>ab</t>
  </si>
  <si>
    <t>BYROW(A1:B3,SUM)</t>
  </si>
  <si>
    <t>cde</t>
  </si>
  <si>
    <t>f</t>
  </si>
  <si>
    <t>BYCOL(A1:B3,MAX)</t>
  </si>
  <si>
    <t>MAP(D1:D3,LEN)</t>
  </si>
  <si>
    <t>MAP(A1:A3,B1:B3,SUM)</t>
  </si>
  <si>
    <t>REDUCE(0,A1:B3,SUM)</t>
  </si>
  <si>
    <t>SCAN(0,A1:A3,SUM)</t>
  </si>
  <si>
    <t>MAKEARRAY(2,2,SUM)</t>
  </si>
  <si>
    <t>LET(f,SUM,f(1,2,3))</t>
  </si>
  <si>
    <t>LET(f,LEN,f("abcd"))</t>
  </si>
  <si>
    <t>MAP(A1:A3,ABS)</t>
  </si>
  <si>
    <t>MAP({-1,"x",TRUE},ABS)</t>
  </si>
  <si>
    <t>BYROW(A1:B3,AVERAGE)</t>
  </si>
  <si>
    <t>BYROW(A1:B3,COUNTA)</t>
  </si>
  <si>
    <t>MAP(D1:D3,UPPER)</t>
  </si>
  <si>
    <t>REDUCE("",D1:D3,CONCAT)</t>
  </si>
  <si>
    <t>BYROW(A1:B3,IF)</t>
  </si>
  <si>
    <t>MAP(A1:A3,ISOMITTED)</t>
  </si>
  <si>
    <t>LET(f,ABS,f(1,2))</t>
  </si>
  <si>
    <t>LET(f,ABS,f())</t>
  </si>
  <si>
    <t>LET(f,SUM,f)</t>
  </si>
  <si>
    <t>=SUM written plainly</t>
  </si>
  <si>
    <t>=SUM written as eta</t>
  </si>
  <si>
    <t>BYROW(A1:B3,NOSUCHFN)</t>
  </si>
  <si>
    <t>BYROW(A1:B3,Rate) with Rate a name</t>
  </si>
  <si>
    <t>BYROW(A1:B3,LAMBDA(r,SUM(r)))</t>
  </si>
  <si>
    <t>ISOMITTED(SUM)</t>
  </si>
  <si>
    <t>TYPE(SUM)</t>
  </si>
  <si>
    <t>ISERROR(SUM)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</si>
</sst>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8"/>
      <color theme="3"/>
      <name val="Calibri"/>
      <scheme val="maj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rgb="FFFF0000"/>
      <name val="Calibri"/>
      <scheme val="minor"/>
    </font>
    <font>
      <i/>
      <sz val="11"/>
      <color rgb="FF7F7F7F"/>
      <name val="Calibri"/>
      <scheme val="minor"/>
    </font>
    <font>
      <b/>
      <sz val="11"/>
      <color theme="1"/>
      <name val="Calibri"/>
      <scheme val="minor"/>
    </font>
    <font>
      <sz val="11"/>
      <color theme="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13</v>
    <v>1</v>
  </rv>
  <rv s="1">
    <v>2</v>
    <v>0</v>
    <v>19</v>
  </rv>
  <rv s="0">
    <v>13</v>
    <v>24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argument" t="s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"/>
  <sheetViews>
    <sheetView tabSelected="1" zoomScaleNormal="100" zoomScaleSheetLayoutView="100" workbookViewId="0"/>
  </sheetViews>
  <sheetFormatPr defaultRowHeight="15"/>
  <sheetData>
    <row r="1" spans="1:7">
      <c r="A1">
        <v>1</v>
      </c>
      <c r="B1">
        <v>2</v>
      </c>
      <c r="D1" t="s">
        <v>0</v>
      </c>
      <c r="E1" t="s">
        <v>1</v>
      </c>
      <c r="F1" cm="1">
        <f t="array" ref="F1:F3">_xlfn.BYROW(A1:B3,_xleta.SUM)</f>
        <v>3</v>
      </c>
    </row>
    <row r="2" spans="1:7">
      <c r="A2">
        <v>3</v>
      </c>
      <c r="B2">
        <v>4</v>
      </c>
      <c r="D2" t="s">
        <v>2</v>
      </c>
      <c r="F2">
        <v>7</v>
      </c>
    </row>
    <row r="3" spans="1:7">
      <c r="A3">
        <v>5</v>
      </c>
      <c r="B3">
        <v>6</v>
      </c>
      <c r="D3" t="s">
        <v>3</v>
      </c>
      <c r="F3">
        <v>11</v>
      </c>
    </row>
    <row r="5" spans="1:7">
      <c r="E5" t="s">
        <v>4</v>
      </c>
      <c r="F5" cm="1">
        <f t="array" ref="F5:G5">_xlfn.BYCOL(A1:B3,_xleta.MAX)</f>
        <v>5</v>
      </c>
      <c r="G5">
        <v>6</v>
      </c>
    </row>
    <row r="9" spans="1:7">
      <c r="E9" t="s">
        <v>5</v>
      </c>
      <c r="F9" cm="1">
        <f t="array" ref="F9:F11">_xlfn.MAP(D1:D3,_xleta.LEN)</f>
        <v>2</v>
      </c>
    </row>
    <row r="10" spans="1:7">
      <c r="F10">
        <v>3</v>
      </c>
    </row>
    <row r="11" spans="1:7">
      <c r="F11">
        <v>1</v>
      </c>
    </row>
    <row r="13" spans="1:7">
      <c r="E13" t="s">
        <v>6</v>
      </c>
      <c r="F13" cm="1">
        <f t="array" ref="F13:F15">_xlfn.MAP(A1:A3,B1:B3,_xleta.SUM)</f>
        <v>3</v>
      </c>
    </row>
    <row r="14" spans="1:7">
      <c r="F14">
        <v>7</v>
      </c>
    </row>
    <row r="15" spans="1:7">
      <c r="F15">
        <v>11</v>
      </c>
    </row>
    <row r="17" spans="5:7">
      <c r="E17" t="s">
        <v>7</v>
      </c>
      <c r="F17" cm="1">
        <f t="array" ref="F17">_xlfn.REDUCE(0,A1:B3,_xleta.SUM)</f>
        <v>21</v>
      </c>
    </row>
    <row r="21" spans="5:7">
      <c r="E21" t="s">
        <v>8</v>
      </c>
      <c r="F21" cm="1">
        <f t="array" ref="F21:F23">_xlfn.SCAN(0,A1:A3,_xleta.SUM)</f>
        <v>1</v>
      </c>
    </row>
    <row r="22" spans="5:7">
      <c r="F22">
        <v>4</v>
      </c>
    </row>
    <row r="23" spans="5:7">
      <c r="F23">
        <v>9</v>
      </c>
    </row>
    <row r="25" spans="5:7">
      <c r="E25" t="s">
        <v>9</v>
      </c>
      <c r="F25" cm="1">
        <f t="array" ref="F25:G26">_xlfn.MAKEARRAY(2,2,_xleta.SUM)</f>
        <v>2</v>
      </c>
      <c r="G25">
        <v>3</v>
      </c>
    </row>
    <row r="26" spans="5:7">
      <c r="F26">
        <v>3</v>
      </c>
      <c r="G26">
        <v>4</v>
      </c>
    </row>
    <row r="29" spans="5:7">
      <c r="E29" t="s">
        <v>10</v>
      </c>
      <c r="F29" cm="1">
        <f t="array" ref="F29">_xlfn.LET(_xlpm.f,_xleta.SUM,_xlpm.f(1,2,3))</f>
        <v>6</v>
      </c>
    </row>
    <row r="33" spans="5:8">
      <c r="E33" t="s">
        <v>11</v>
      </c>
      <c r="F33" cm="1">
        <f t="array" ref="F33">_xlfn.LET(_xlpm.f,_xleta.LEN,_xlpm.f("abcd"))</f>
        <v>4</v>
      </c>
    </row>
    <row r="37" spans="5:8">
      <c r="E37" t="s">
        <v>12</v>
      </c>
      <c r="F37" cm="1">
        <f t="array" ref="F37:F39">_xlfn.MAP(A1:A3,_xleta.ABS)</f>
        <v>1</v>
      </c>
    </row>
    <row r="38" spans="5:8">
      <c r="F38">
        <v>3</v>
      </c>
    </row>
    <row r="39" spans="5:8">
      <c r="F39">
        <v>5</v>
      </c>
    </row>
    <row r="41" spans="5:8">
      <c r="E41" t="s">
        <v>13</v>
      </c>
      <c r="F41" cm="1">
        <f t="array" ref="F41:H41">_xlfn.MAP({-1,"x",TRUE},_xleta.ABS)</f>
        <v>1</v>
      </c>
      <c r="G41" t="e">
        <v>#VALUE!</v>
      </c>
      <c r="H41">
        <v>1</v>
      </c>
    </row>
    <row r="45" spans="5:8">
      <c r="E45" t="s">
        <v>14</v>
      </c>
      <c r="F45" cm="1">
        <f t="array" ref="F45:F47">_xlfn.BYROW(A1:B3,_xleta.AVERAGE)</f>
        <v>1.5</v>
      </c>
    </row>
    <row r="46" spans="5:8">
      <c r="F46">
        <v>3.5</v>
      </c>
    </row>
    <row r="47" spans="5:8">
      <c r="F47">
        <v>5.5</v>
      </c>
    </row>
    <row r="49" spans="5:6">
      <c r="E49" t="s">
        <v>15</v>
      </c>
      <c r="F49" cm="1">
        <f t="array" ref="F49:F51">_xlfn.BYROW(A1:B3,_xleta.COUNTA)</f>
        <v>2</v>
      </c>
    </row>
    <row r="50" spans="5:6">
      <c r="F50">
        <v>2</v>
      </c>
    </row>
    <row r="51" spans="5:6">
      <c r="F51">
        <v>2</v>
      </c>
    </row>
    <row r="53" spans="5:6">
      <c r="E53" t="s">
        <v>16</v>
      </c>
      <c r="F53" t="str" cm="1">
        <f t="array" ref="F53:F55">_xlfn.MAP(D1:D3,_xleta.UPPER)</f>
        <v>AB</v>
      </c>
    </row>
    <row r="54" spans="5:6">
      <c r="F54" t="str">
        <v>CDE</v>
      </c>
    </row>
    <row r="55" spans="5:6">
      <c r="F55" t="str">
        <v>F</v>
      </c>
    </row>
    <row r="57" spans="5:6">
      <c r="E57" t="s">
        <v>17</v>
      </c>
      <c r="F57" t="str" cm="1">
        <f t="array" ref="F57">_xlfn.REDUCE("",D1:D3,_xleta.CONCAT)</f>
        <v>abcdef</v>
      </c>
    </row>
    <row r="61" spans="5:6">
      <c r="E61" t="s">
        <v>18</v>
      </c>
      <c r="F61" t="e" cm="1" vm="1">
        <f t="array" ref="F61">_xlfn.BYROW(A1:B3,_xleta.IF)</f>
        <v>#VALUE!</v>
      </c>
    </row>
    <row r="65" spans="5:6">
      <c r="E65" t="s">
        <v>19</v>
      </c>
      <c r="F65" t="b" cm="1">
        <f t="array" ref="F65:F67">_xlfn.MAP(A1:A3,_xleta.ISOMITTED)</f>
        <v>0</v>
      </c>
    </row>
    <row r="66" spans="5:6">
      <c r="F66" t="b">
        <v>0</v>
      </c>
    </row>
    <row r="67" spans="5:6">
      <c r="F67" t="b">
        <v>0</v>
      </c>
    </row>
    <row r="69" spans="5:6">
      <c r="E69" t="s">
        <v>20</v>
      </c>
      <c r="F69" t="e" cm="1" vm="2">
        <f t="array" ref="F69">_xlfn.LET(_xlpm.f,_xleta.ABS,_xlpm.f(1,2))</f>
        <v>#VALUE!</v>
      </c>
    </row>
    <row r="73" spans="5:6">
      <c r="E73" t="s">
        <v>21</v>
      </c>
      <c r="F73" t="e" cm="1" vm="2">
        <f t="array" ref="F73">_xlfn.LET(_xlpm.f,_xleta.ABS,_xlpm.f())</f>
        <v>#VALUE!</v>
      </c>
    </row>
    <row r="77" spans="5:6">
      <c r="E77" t="s">
        <v>22</v>
      </c>
      <c r="F77" t="e" cm="1" vm="3">
        <f t="array" ref="F77">_xlfn.LET(_xlpm.f,_xleta.SUM,_xlpm.f)</f>
        <v>#VALUE!</v>
      </c>
    </row>
    <row r="81" spans="5:6">
      <c r="E81" t="s">
        <v>23</v>
      </c>
      <c r="F81" t="e" cm="1">
        <f t="array" aca="1" ref="F81" ca="1">_xludf.SUM</f>
        <v>#NAME?</v>
      </c>
    </row>
    <row r="85" spans="5:6">
      <c r="E85" t="s">
        <v>24</v>
      </c>
      <c r="F85" t="e" cm="1" vm="3">
        <f t="array" ref="F85">_xleta.SUM</f>
        <v>#VALUE!</v>
      </c>
    </row>
    <row r="89" spans="5:6">
      <c r="E89" t="s">
        <v>25</v>
      </c>
      <c r="F89" t="e" cm="1">
        <f t="array" aca="1" ref="F89" ca="1">_xlfn.BYROW(A1:B3,NOSUCHFN)</f>
        <v>#VALUE!</v>
      </c>
    </row>
    <row r="93" spans="5:6">
      <c r="E93" t="s">
        <v>26</v>
      </c>
      <c r="F93" t="e" cm="1">
        <f t="array" ref="F93">_xlfn.BYROW(A1:B3,Rate)</f>
        <v>#VALUE!</v>
      </c>
    </row>
    <row r="97" spans="5:6">
      <c r="E97" t="s">
        <v>27</v>
      </c>
      <c r="F97" cm="1">
        <f t="array" ref="F97:F99">_xlfn.BYROW(A1:B3,_xlfn.LAMBDA(_xlpm.r,SUM(_xlpm.r)))</f>
        <v>3</v>
      </c>
    </row>
    <row r="98" spans="5:6">
      <c r="F98">
        <v>7</v>
      </c>
    </row>
    <row r="99" spans="5:6">
      <c r="F99">
        <v>11</v>
      </c>
    </row>
    <row r="101" spans="5:6">
      <c r="E101" t="s">
        <v>28</v>
      </c>
      <c r="F101" t="b" cm="1">
        <f t="array" ref="F101">_xlfn.ISOMITTED(_xleta.SUM)</f>
        <v>0</v>
      </c>
    </row>
    <row r="105" spans="5:6">
      <c r="E105" t="s">
        <v>29</v>
      </c>
      <c r="F105" cm="1">
        <f t="array" ref="F105">TYPE(_xleta.SUM)</f>
        <v>128</v>
      </c>
    </row>
    <row r="109" spans="5:6">
      <c r="E109" t="s">
        <v>30</v>
      </c>
      <c r="F109" t="b" cm="1">
        <f t="array" ref="F109">ISERROR(_xleta.SUM)</f>
        <v>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2026-10-10T21:03:43Z</dcterms:created>
  <dcterms:modified xsi:type="dcterms:W3CDTF">2026-10-10T21:03:43Z</dcterms:modified>
  <cp:category/>
  <cp:contentStatus/>
</cp:coreProperties>
</file>