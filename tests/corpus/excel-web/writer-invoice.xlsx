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8.02/"/>
    </mc:Choice>
  </mc:AlternateContent>
  <xr:revisionPtr revIDLastSave="0" documentId="8_{1E344909-1580-4315-8B27-B5024F5296EE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Invoice" sheetId="1" r:id="rId1"/>
    <sheet name="Settings" sheetId="2" r:id="rId2"/>
    <sheet name="METADATA" sheetId="3" state="hidden" r:id="rId3"/>
    <sheet name="SharpCell" sheetId="4" r:id="rId4"/>
  </sheets>
  <definedNames>
    <definedName name="AccountHolder">Settings!$C$15</definedName>
    <definedName name="AddressLine1">Settings!$C$8</definedName>
    <definedName name="AddressLine2">Settings!$C$9</definedName>
    <definedName name="BankName">Settings!$C$18</definedName>
    <definedName name="BIC_SWIFT">Settings!$C$17</definedName>
    <definedName name="CompanyName">Settings!$C$7</definedName>
    <definedName name="Email">Settings!$C$10</definedName>
    <definedName name="IBAN">Settings!$C$16</definedName>
    <definedName name="PaymentTermsDays">Settings!$C$21</definedName>
    <definedName name="VatID">Settings!$C$12</definedName>
    <definedName name="VatRate">Settings!$C$22</definedName>
    <definedName name="Website">Settings!$C$11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 a="1"/>
  <c r="A2" i="4"/>
  <c r="B2" i="3"/>
  <c r="D38" i="1"/>
  <c r="D37" i="1"/>
  <c r="D36" i="1"/>
  <c r="D35" i="1"/>
  <c r="D34" i="1"/>
  <c r="H26" i="1"/>
  <c r="H25" i="1"/>
  <c r="H24" i="1"/>
  <c r="H23" i="1"/>
  <c r="H22" i="1"/>
  <c r="H21" i="1"/>
  <c r="H20" i="1"/>
  <c r="H19" i="1"/>
  <c r="H18" i="1"/>
  <c r="H17" i="1"/>
  <c r="H28" i="1" s="1"/>
  <c r="H29" i="1" s="1"/>
  <c r="B17" i="1" a="1"/>
  <c r="B17" i="1"/>
  <c r="B14" i="1"/>
  <c r="B13" i="1"/>
  <c r="B12" i="1"/>
  <c r="B11" i="1"/>
  <c r="H6" i="1"/>
  <c r="H7" i="1" l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<sst xmlns="http://schemas.openxmlformats.org/spreadsheetml/2006/main" count="63" uniqueCount="54">
  <si>
    <t>IronCalc GmbH</t>
  </si>
  <si>
    <t>INVOICE</t>
  </si>
  <si>
    <t>Invoice No.</t>
  </si>
  <si>
    <t>INV-2026-001</t>
  </si>
  <si>
    <t>added by SharpCell</t>
  </si>
  <si>
    <t>10178 Berlin, Germany</t>
  </si>
  <si>
    <t>Issue Date</t>
  </si>
  <si>
    <t>hello@ironcalc.com</t>
  </si>
  <si>
    <t>Due Date</t>
  </si>
  <si>
    <t>VAT ID: DE 123456789</t>
  </si>
  <si>
    <t>Status</t>
  </si>
  <si>
    <t>CURRENT</t>
  </si>
  <si>
    <t>BILL TO</t>
  </si>
  <si>
    <t>#</t>
  </si>
  <si>
    <t>Description</t>
  </si>
  <si>
    <t>Qty</t>
  </si>
  <si>
    <t>Unit Price</t>
  </si>
  <si>
    <t>Amount</t>
  </si>
  <si>
    <t>Spreadsheet engine development</t>
  </si>
  <si>
    <t>IronCalc WASM integration &amp; testing</t>
  </si>
  <si>
    <t>Technical consulting</t>
  </si>
  <si>
    <t>Subtotal</t>
  </si>
  <si>
    <t>VAT (19%)</t>
  </si>
  <si>
    <t>TOTAL DUE</t>
  </si>
  <si>
    <t>BANK DETAILS</t>
  </si>
  <si>
    <t>Account holder</t>
  </si>
  <si>
    <t>IBAN</t>
  </si>
  <si>
    <t>BIC / SWIFT</t>
  </si>
  <si>
    <t>Bank</t>
  </si>
  <si>
    <t>Payment ref.</t>
  </si>
  <si>
    <t>Payment due within agreed terms. Late payments subject to interest per §288 BGB.</t>
  </si>
  <si>
    <t>Invoice Settings</t>
  </si>
  <si>
    <t>Your Company</t>
  </si>
  <si>
    <t>Company name</t>
  </si>
  <si>
    <t>Address line 1</t>
  </si>
  <si>
    <t>Alexanderpl. 1</t>
  </si>
  <si>
    <t>Address line 2</t>
  </si>
  <si>
    <t>Email</t>
  </si>
  <si>
    <t>Website</t>
  </si>
  <si>
    <t>www.ironcalc.com</t>
  </si>
  <si>
    <t>VAT ID</t>
  </si>
  <si>
    <t>DE 123456789</t>
  </si>
  <si>
    <t>Bank Details</t>
  </si>
  <si>
    <t>DE00 0000 0000 0000 0000 00</t>
  </si>
  <si>
    <t>DEUTXXXX</t>
  </si>
  <si>
    <t>Bank name</t>
  </si>
  <si>
    <t>Lotus Bank</t>
  </si>
  <si>
    <t>Payment Terms</t>
  </si>
  <si>
    <t>Payment terms (working days)</t>
  </si>
  <si>
    <t>Due date = issue date + N working days</t>
  </si>
  <si>
    <t>VAT / Tax rate</t>
  </si>
  <si>
    <t>Applied to subtotal</t>
  </si>
  <si>
    <t>Invoice Footer Note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</si>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</sst>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;[Red]\-[$€-2]\ #,##0.00"/>
    <numFmt numFmtId="165" formatCode="#,##0.00\ &quot;EUR&quot;"/>
  </numFmts>
  <fonts count="16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6"/>
      <name val="Aptos Narrow"/>
      <family val="2"/>
      <scheme val="minor"/>
    </font>
    <font>
      <i/>
      <sz val="12"/>
      <color theme="1" tint="0.249977111117893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b/>
      <sz val="12"/>
      <color theme="1" tint="0.249977111117893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 tint="9.9978637043366805E-2"/>
      <name val="Aptos Narrow"/>
      <family val="2"/>
      <scheme val="minor"/>
    </font>
    <font>
      <b/>
      <sz val="24"/>
      <color theme="0" tint="-0.249977111117893"/>
      <name val="Aptos Narrow"/>
      <family val="2"/>
      <scheme val="minor"/>
    </font>
    <font>
      <i/>
      <sz val="12"/>
      <color rgb="FF272525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2" borderId="1" applyNumberFormat="0" applyAlignment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15" fontId="8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4" borderId="1" xfId="1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4" borderId="1" xfId="1" applyFont="1" applyFill="1" applyAlignment="1">
      <alignment horizontal="left" vertical="center"/>
    </xf>
    <xf numFmtId="10" fontId="13" fillId="4" borderId="1" xfId="1" applyNumberFormat="1" applyFont="1" applyFill="1" applyAlignment="1">
      <alignment horizontal="left" vertical="center"/>
    </xf>
    <xf numFmtId="0" fontId="14" fillId="0" borderId="0" xfId="0" applyFont="1" applyAlignment="1">
      <alignment horizontal="right" vertical="center"/>
    </xf>
    <xf numFmtId="2" fontId="0" fillId="0" borderId="0" xfId="0" applyNumberFormat="1"/>
    <xf numFmtId="0" fontId="15" fillId="0" borderId="0" xfId="0" applyFont="1"/>
    <xf numFmtId="165" fontId="0" fillId="0" borderId="0" xfId="0" applyNumberFormat="1"/>
    <xf numFmtId="164" fontId="11" fillId="0" borderId="0" xfId="0" applyNumberFormat="1" applyFont="1" applyAlignment="1">
      <alignment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IronCalc Theme">
  <a:themeElements>
    <a:clrScheme name="IronCalc">
      <a:dk1>
        <a:sysClr val="windowText" lastClr="000000"/>
      </a:dk1>
      <a:lt1>
        <a:sysClr val="window" lastClr="FFFFFF"/>
      </a:lt1>
      <a:dk2>
        <a:srgbClr val="333333"/>
      </a:dk2>
      <a:lt2>
        <a:srgbClr val="F8F4F1"/>
      </a:lt2>
      <a:accent1>
        <a:srgbClr val="8CB354"/>
      </a:accent1>
      <a:accent2>
        <a:srgbClr val="F8CD3D"/>
      </a:accent2>
      <a:accent3>
        <a:srgbClr val="F2994A"/>
      </a:accent3>
      <a:accent4>
        <a:srgbClr val="EC5753"/>
      </a:accent4>
      <a:accent5>
        <a:srgbClr val="523E93"/>
      </a:accent5>
      <a:accent6>
        <a:srgbClr val="3458B7"/>
      </a:accent6>
      <a:hlink>
        <a:srgbClr val="F2994A"/>
      </a:hlink>
      <a:folHlink>
        <a:srgbClr val="843BBC"/>
      </a:folHlink>
    </a:clrScheme>
    <a:fontScheme name="IronCalc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ronCalc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IronCalc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showGridLines="0" tabSelected="1" workbookViewId="0">
      <selection activeCell="B2" sqref="B2"/>
    </sheetView>
  </sheetViews>
  <sheetFormatPr defaultColWidth="11" defaultRowHeight="15.95"/>
  <cols>
    <col min="1" max="2" width="3.375" customWidth="1"/>
    <col min="3" max="8" width="10.875" customWidth="1"/>
    <col min="9" max="10" width="3.375" customWidth="1"/>
  </cols>
  <sheetData>
    <row r="1" spans="1:9">
      <c r="A1" s="2"/>
      <c r="B1" s="2"/>
      <c r="C1" s="2"/>
      <c r="D1" s="2"/>
      <c r="E1" s="2"/>
      <c r="F1" s="2"/>
      <c r="G1" s="2"/>
      <c r="H1" s="2"/>
      <c r="I1" s="2"/>
    </row>
    <row r="2" spans="1:9" ht="32.1">
      <c r="A2" s="2"/>
      <c r="B2" s="7" t="s">
        <v>0</v>
      </c>
      <c r="C2" s="2"/>
      <c r="D2" s="2"/>
      <c r="E2" s="2"/>
      <c r="F2" s="2"/>
      <c r="G2" s="2"/>
      <c r="H2" s="34" t="s">
        <v>1</v>
      </c>
      <c r="I2" s="2"/>
    </row>
    <row r="3" spans="1:9">
      <c r="A3" s="2"/>
      <c r="B3" s="8" t="s">
        <v>0</v>
      </c>
      <c r="C3" s="8"/>
      <c r="D3" s="8"/>
      <c r="E3" s="8"/>
      <c r="F3" s="8"/>
      <c r="G3" s="8" t="s">
        <v>2</v>
      </c>
      <c r="H3" s="9" t="s">
        <v>3</v>
      </c>
      <c r="I3" s="2"/>
    </row>
    <row r="4" spans="1:9">
      <c r="A4" s="36" t="s">
        <v>4</v>
      </c>
    </row>
    <row r="6" spans="1:9">
      <c r="A6" s="2"/>
      <c r="B6" s="8" t="s">
        <v>5</v>
      </c>
      <c r="C6" s="8"/>
      <c r="D6" s="8"/>
      <c r="E6" s="8"/>
      <c r="F6" s="8"/>
      <c r="G6" s="8" t="s">
        <v>6</v>
      </c>
      <c r="H6" s="10">
        <f ca="1">TODAY()</f>
        <v>46305</v>
      </c>
      <c r="I6" s="2"/>
    </row>
    <row r="7" spans="1:9">
      <c r="A7" s="2"/>
      <c r="B7" s="8" t="s">
        <v>7</v>
      </c>
      <c r="C7" s="8"/>
      <c r="D7" s="8"/>
      <c r="E7" s="8"/>
      <c r="F7" s="8"/>
      <c r="G7" s="8" t="s">
        <v>8</v>
      </c>
      <c r="H7" s="10">
        <f ca="1">WORKDAY(H6,PaymentTermsDays)</f>
        <v>46346</v>
      </c>
      <c r="I7" s="2"/>
    </row>
    <row r="8" spans="1:9">
      <c r="A8" s="2"/>
      <c r="B8" s="8" t="s">
        <v>9</v>
      </c>
      <c r="C8" s="8"/>
      <c r="D8" s="8"/>
      <c r="E8" s="8"/>
      <c r="F8" s="8"/>
      <c r="G8" s="8" t="s">
        <v>10</v>
      </c>
      <c r="H8" s="9" t="s">
        <v>11</v>
      </c>
      <c r="I8" s="2"/>
    </row>
    <row r="9" spans="1:9">
      <c r="A9" s="2"/>
      <c r="B9" s="8"/>
      <c r="C9" s="8"/>
      <c r="D9" s="8"/>
      <c r="E9" s="8"/>
      <c r="F9" s="8"/>
      <c r="G9" s="2"/>
      <c r="H9" s="2"/>
      <c r="I9" s="2"/>
    </row>
    <row r="10" spans="1:9">
      <c r="A10" s="2"/>
      <c r="B10" s="11" t="s">
        <v>12</v>
      </c>
      <c r="C10" s="12"/>
      <c r="D10" s="12"/>
      <c r="E10" s="8"/>
      <c r="F10" s="2"/>
      <c r="G10" s="2"/>
      <c r="H10" s="2"/>
      <c r="I10" s="2"/>
    </row>
    <row r="11" spans="1:9">
      <c r="A11" s="2"/>
      <c r="B11" s="13" t="str">
        <f>CompanyName</f>
        <v>IronCalc GmbH</v>
      </c>
      <c r="C11" s="13"/>
      <c r="D11" s="13"/>
      <c r="E11" s="8"/>
      <c r="F11" s="13"/>
      <c r="G11" s="2"/>
      <c r="H11" s="2"/>
      <c r="I11" s="2"/>
    </row>
    <row r="12" spans="1:9">
      <c r="A12" s="2"/>
      <c r="B12" s="13" t="str">
        <f>AddressLine1</f>
        <v>Alexanderpl. 1</v>
      </c>
      <c r="C12" s="13"/>
      <c r="D12" s="13"/>
      <c r="E12" s="8"/>
      <c r="F12" s="13"/>
      <c r="G12" s="2"/>
      <c r="H12" s="2"/>
      <c r="I12" s="2"/>
    </row>
    <row r="13" spans="1:9">
      <c r="A13" s="2"/>
      <c r="B13" s="13" t="str">
        <f>AddressLine2</f>
        <v>10178 Berlin, Germany</v>
      </c>
      <c r="C13" s="13"/>
      <c r="D13" s="13"/>
      <c r="E13" s="8"/>
      <c r="F13" s="13"/>
      <c r="G13" s="2"/>
      <c r="H13" s="2"/>
      <c r="I13" s="2"/>
    </row>
    <row r="14" spans="1:9">
      <c r="A14" s="2"/>
      <c r="B14" s="13" t="str">
        <f>VatID</f>
        <v>DE 123456789</v>
      </c>
      <c r="C14" s="13"/>
      <c r="D14" s="13"/>
      <c r="E14" s="13"/>
      <c r="F14" s="13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14" t="s">
        <v>13</v>
      </c>
      <c r="C16" s="15" t="s">
        <v>14</v>
      </c>
      <c r="D16" s="15"/>
      <c r="E16" s="15"/>
      <c r="F16" s="14" t="s">
        <v>15</v>
      </c>
      <c r="G16" s="15" t="s">
        <v>16</v>
      </c>
      <c r="H16" s="15" t="s">
        <v>17</v>
      </c>
      <c r="I16" s="1"/>
    </row>
    <row r="17" spans="1:9">
      <c r="A17" s="2"/>
      <c r="B17" s="26" cm="1">
        <f t="array" ref="B17:B19">_xlfn.SEQUENCE(COUNTA(C17:C27))</f>
        <v>1</v>
      </c>
      <c r="C17" s="17" t="s">
        <v>18</v>
      </c>
      <c r="D17" s="17"/>
      <c r="E17" s="17"/>
      <c r="F17" s="16">
        <v>160</v>
      </c>
      <c r="G17" s="18">
        <v>100</v>
      </c>
      <c r="H17" s="18">
        <f>IF(AND(ISNUMBER(F17),ISNUMBER(G17),F17&gt;0),F17*G17,"")</f>
        <v>16000</v>
      </c>
      <c r="I17" s="2"/>
    </row>
    <row r="18" spans="1:9">
      <c r="A18" s="2"/>
      <c r="B18" s="27">
        <v>2</v>
      </c>
      <c r="C18" s="20" t="s">
        <v>19</v>
      </c>
      <c r="D18" s="20"/>
      <c r="E18" s="20"/>
      <c r="F18" s="19">
        <v>40</v>
      </c>
      <c r="G18" s="21">
        <v>100</v>
      </c>
      <c r="H18" s="18">
        <f>IF(AND(ISNUMBER(F18),ISNUMBER(G18),F18&gt;0),F18*G18,"")</f>
        <v>4000</v>
      </c>
      <c r="I18" s="2"/>
    </row>
    <row r="19" spans="1:9">
      <c r="A19" s="2"/>
      <c r="B19" s="27">
        <v>3</v>
      </c>
      <c r="C19" s="20" t="s">
        <v>20</v>
      </c>
      <c r="D19" s="20"/>
      <c r="E19" s="20"/>
      <c r="F19" s="19">
        <v>22</v>
      </c>
      <c r="G19" s="21">
        <v>120</v>
      </c>
      <c r="H19" s="18">
        <f>IF(AND(ISNUMBER(F19),ISNUMBER(G19),F19&gt;0),F19*G19,"")</f>
        <v>2640</v>
      </c>
      <c r="I19" s="2"/>
    </row>
    <row r="20" spans="1:9">
      <c r="A20" s="2"/>
      <c r="B20" s="27"/>
      <c r="C20" s="20"/>
      <c r="D20" s="20"/>
      <c r="E20" s="20"/>
      <c r="F20" s="19"/>
      <c r="G20" s="20"/>
      <c r="H20" s="18" t="str">
        <f>IF(AND(ISNUMBER(F20),ISNUMBER(G20),F20&gt;0),F20*G20,"")</f>
        <v/>
      </c>
      <c r="I20" s="2"/>
    </row>
    <row r="21" spans="1:9">
      <c r="A21" s="2"/>
      <c r="B21" s="27"/>
      <c r="C21" s="20"/>
      <c r="D21" s="20"/>
      <c r="E21" s="20"/>
      <c r="F21" s="19"/>
      <c r="G21" s="20"/>
      <c r="H21" s="18" t="str">
        <f>IF(AND(ISNUMBER(F21),ISNUMBER(G21),F21&gt;0),F21*G21,"")</f>
        <v/>
      </c>
      <c r="I21" s="2"/>
    </row>
    <row r="22" spans="1:9">
      <c r="A22" s="2"/>
      <c r="B22" s="27"/>
      <c r="C22" s="20"/>
      <c r="D22" s="20"/>
      <c r="E22" s="20"/>
      <c r="F22" s="19"/>
      <c r="G22" s="20"/>
      <c r="H22" s="18" t="str">
        <f>IF(AND(ISNUMBER(F22),ISNUMBER(G22),F22&gt;0),F22*G22,"")</f>
        <v/>
      </c>
      <c r="I22" s="2"/>
    </row>
    <row r="23" spans="1:9">
      <c r="A23" s="2"/>
      <c r="B23" s="27"/>
      <c r="C23" s="20"/>
      <c r="D23" s="20"/>
      <c r="E23" s="20"/>
      <c r="F23" s="19"/>
      <c r="G23" s="20"/>
      <c r="H23" s="18" t="str">
        <f>IF(AND(ISNUMBER(F23),ISNUMBER(G23),F23&gt;0),F23*G23,"")</f>
        <v/>
      </c>
      <c r="I23" s="2"/>
    </row>
    <row r="24" spans="1:9">
      <c r="A24" s="2"/>
      <c r="B24" s="27"/>
      <c r="C24" s="20"/>
      <c r="D24" s="20"/>
      <c r="E24" s="20"/>
      <c r="F24" s="19"/>
      <c r="G24" s="20"/>
      <c r="H24" s="18" t="str">
        <f>IF(AND(ISNUMBER(F24),ISNUMBER(G24),F24&gt;0),F24*G24,"")</f>
        <v/>
      </c>
      <c r="I24" s="2"/>
    </row>
    <row r="25" spans="1:9">
      <c r="A25" s="2"/>
      <c r="B25" s="27"/>
      <c r="C25" s="20"/>
      <c r="D25" s="20"/>
      <c r="E25" s="20"/>
      <c r="F25" s="19"/>
      <c r="G25" s="20"/>
      <c r="H25" s="18" t="str">
        <f>IF(AND(ISNUMBER(F25),ISNUMBER(G25),F25&gt;0),F25*G25,"")</f>
        <v/>
      </c>
      <c r="I25" s="2"/>
    </row>
    <row r="26" spans="1:9">
      <c r="A26" s="2"/>
      <c r="B26" s="28"/>
      <c r="C26" s="23"/>
      <c r="D26" s="23"/>
      <c r="E26" s="23"/>
      <c r="F26" s="22"/>
      <c r="G26" s="23"/>
      <c r="H26" s="18" t="str">
        <f>IF(AND(ISNUMBER(F26),ISNUMBER(G26),F26&gt;0),F26*G26,"")</f>
        <v/>
      </c>
      <c r="I26" s="2"/>
    </row>
    <row r="27" spans="1:9">
      <c r="A27" s="2"/>
      <c r="B27" s="24"/>
      <c r="C27" s="2"/>
      <c r="D27" s="2"/>
      <c r="E27" s="2"/>
      <c r="F27" s="24"/>
      <c r="G27" s="2"/>
      <c r="H27" s="2"/>
      <c r="I27" s="2"/>
    </row>
    <row r="28" spans="1:9">
      <c r="A28" s="2"/>
      <c r="B28" s="1" t="s">
        <v>21</v>
      </c>
      <c r="C28" s="2"/>
      <c r="D28" s="2"/>
      <c r="E28" s="2"/>
      <c r="F28" s="2"/>
      <c r="G28" s="2"/>
      <c r="H28" s="3">
        <f>SUM(H17:H26)</f>
        <v>22640</v>
      </c>
      <c r="I28" s="2"/>
    </row>
    <row r="29" spans="1:9">
      <c r="A29" s="2"/>
      <c r="B29" s="12" t="s">
        <v>22</v>
      </c>
      <c r="C29" s="12"/>
      <c r="D29" s="12"/>
      <c r="E29" s="12"/>
      <c r="F29" s="12"/>
      <c r="G29" s="12"/>
      <c r="H29" s="38">
        <f>ROUND(H28*VatRate,2)</f>
        <v>4301.6000000000004</v>
      </c>
      <c r="I29" s="2"/>
    </row>
    <row r="30" spans="1:9" ht="30" customHeight="1">
      <c r="A30" s="2"/>
      <c r="B30" s="4" t="s">
        <v>23</v>
      </c>
      <c r="C30" s="5"/>
      <c r="D30" s="5"/>
      <c r="E30" s="5"/>
      <c r="F30" s="5"/>
      <c r="G30" s="5"/>
      <c r="H30" s="6">
        <v>26941.599999999999</v>
      </c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11" t="s">
        <v>24</v>
      </c>
      <c r="C33" s="2"/>
      <c r="D33" s="2"/>
      <c r="E33" s="2"/>
      <c r="F33" s="2"/>
      <c r="G33" s="2"/>
      <c r="H33" s="2"/>
      <c r="I33" s="2"/>
    </row>
    <row r="34" spans="1:9">
      <c r="A34" s="2"/>
      <c r="B34" s="11" t="s">
        <v>25</v>
      </c>
      <c r="C34" s="12"/>
      <c r="D34" s="12" t="str">
        <f>CompanyName</f>
        <v>IronCalc GmbH</v>
      </c>
      <c r="E34" s="12"/>
      <c r="F34" s="12"/>
      <c r="G34" s="12"/>
      <c r="H34" s="12"/>
      <c r="I34" s="2"/>
    </row>
    <row r="35" spans="1:9">
      <c r="A35" s="2"/>
      <c r="B35" s="11" t="s">
        <v>26</v>
      </c>
      <c r="C35" s="12"/>
      <c r="D35" s="12" t="str">
        <f>IBAN</f>
        <v>DE00 0000 0000 0000 0000 00</v>
      </c>
      <c r="E35" s="12"/>
      <c r="F35" s="12"/>
      <c r="G35" s="12"/>
      <c r="H35" s="12"/>
      <c r="I35" s="2"/>
    </row>
    <row r="36" spans="1:9">
      <c r="A36" s="2"/>
      <c r="B36" s="11" t="s">
        <v>27</v>
      </c>
      <c r="C36" s="12"/>
      <c r="D36" s="12" t="str">
        <f>BIC_SWIFT</f>
        <v>DEUTXXXX</v>
      </c>
      <c r="E36" s="12"/>
      <c r="F36" s="12"/>
      <c r="G36" s="12"/>
      <c r="H36" s="12"/>
      <c r="I36" s="2"/>
    </row>
    <row r="37" spans="1:9">
      <c r="A37" s="2"/>
      <c r="B37" s="11" t="s">
        <v>28</v>
      </c>
      <c r="C37" s="12"/>
      <c r="D37" s="12" t="str">
        <f>BankName</f>
        <v>Lotus Bank</v>
      </c>
      <c r="E37" s="12"/>
      <c r="F37" s="12"/>
      <c r="G37" s="12"/>
      <c r="H37" s="12"/>
      <c r="I37" s="2"/>
    </row>
    <row r="38" spans="1:9">
      <c r="A38" s="2"/>
      <c r="B38" s="11" t="s">
        <v>29</v>
      </c>
      <c r="C38" s="12"/>
      <c r="D38" s="12" t="str">
        <f>H3</f>
        <v>INV-2026-001</v>
      </c>
      <c r="E38" s="12"/>
      <c r="F38" s="12"/>
      <c r="G38" s="12"/>
      <c r="H38" s="12"/>
      <c r="I38" s="2"/>
    </row>
    <row r="39" spans="1:9">
      <c r="A39" s="2"/>
      <c r="B39" s="12"/>
      <c r="C39" s="12"/>
      <c r="D39" s="12"/>
      <c r="E39" s="12"/>
      <c r="F39" s="12"/>
      <c r="G39" s="12"/>
      <c r="H39" s="12"/>
      <c r="I39" s="2"/>
    </row>
    <row r="40" spans="1:9">
      <c r="A40" s="2"/>
      <c r="B40" s="25" t="s">
        <v>30</v>
      </c>
      <c r="C40" s="12"/>
      <c r="D40" s="12"/>
      <c r="E40" s="12"/>
      <c r="F40" s="12"/>
      <c r="G40" s="12"/>
      <c r="H40" s="1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showGridLines="0" workbookViewId="0">
      <selection activeCell="G21" sqref="G21"/>
    </sheetView>
  </sheetViews>
  <sheetFormatPr defaultColWidth="11" defaultRowHeight="15.95"/>
  <cols>
    <col min="1" max="1" width="3.375" customWidth="1"/>
    <col min="2" max="3" width="23.375" customWidth="1"/>
    <col min="4" max="4" width="3.375" customWidth="1"/>
  </cols>
  <sheetData>
    <row r="1" spans="1:5">
      <c r="A1" s="2"/>
      <c r="B1" s="2"/>
      <c r="C1" s="2"/>
      <c r="D1" s="2"/>
      <c r="E1" s="2"/>
    </row>
    <row r="2" spans="1:5" ht="27">
      <c r="A2" s="2"/>
      <c r="B2" s="29" t="s">
        <v>31</v>
      </c>
      <c r="C2" s="2"/>
      <c r="D2" s="2"/>
      <c r="E2" s="2"/>
    </row>
    <row r="3" spans="1:5">
      <c r="A3" s="2"/>
      <c r="B3" s="2"/>
      <c r="C3" s="2"/>
      <c r="D3" s="2"/>
      <c r="E3" s="2"/>
    </row>
    <row r="6" spans="1:5">
      <c r="A6" s="2"/>
      <c r="B6" s="1" t="s">
        <v>32</v>
      </c>
      <c r="C6" s="2"/>
      <c r="D6" s="2"/>
      <c r="E6" s="2"/>
    </row>
    <row r="7" spans="1:5">
      <c r="A7" s="2"/>
      <c r="B7" s="2" t="s">
        <v>33</v>
      </c>
      <c r="C7" s="30" t="s">
        <v>0</v>
      </c>
      <c r="D7" s="2"/>
      <c r="E7" s="2"/>
    </row>
    <row r="8" spans="1:5">
      <c r="A8" s="2"/>
      <c r="B8" s="2" t="s">
        <v>34</v>
      </c>
      <c r="C8" s="30" t="s">
        <v>35</v>
      </c>
      <c r="D8" s="2"/>
      <c r="E8" s="2"/>
    </row>
    <row r="9" spans="1:5">
      <c r="A9" s="2"/>
      <c r="B9" s="2" t="s">
        <v>36</v>
      </c>
      <c r="C9" s="30" t="s">
        <v>5</v>
      </c>
      <c r="D9" s="2"/>
      <c r="E9" s="2"/>
    </row>
    <row r="10" spans="1:5">
      <c r="A10" s="2"/>
      <c r="B10" s="2" t="s">
        <v>37</v>
      </c>
      <c r="C10" s="30" t="s">
        <v>7</v>
      </c>
      <c r="D10" s="2"/>
      <c r="E10" s="2"/>
    </row>
    <row r="11" spans="1:5">
      <c r="A11" s="2"/>
      <c r="B11" s="2" t="s">
        <v>38</v>
      </c>
      <c r="C11" s="30" t="s">
        <v>39</v>
      </c>
      <c r="D11" s="2"/>
      <c r="E11" s="2"/>
    </row>
    <row r="12" spans="1:5">
      <c r="A12" s="2"/>
      <c r="B12" s="2" t="s">
        <v>40</v>
      </c>
      <c r="C12" s="30" t="s">
        <v>41</v>
      </c>
      <c r="D12" s="2"/>
      <c r="E12" s="2"/>
    </row>
    <row r="13" spans="1:5">
      <c r="A13" s="2"/>
      <c r="B13" s="2"/>
      <c r="C13" s="31"/>
      <c r="D13" s="2"/>
      <c r="E13" s="2"/>
    </row>
    <row r="14" spans="1:5">
      <c r="A14" s="2"/>
      <c r="B14" s="1" t="s">
        <v>42</v>
      </c>
      <c r="C14" s="31"/>
      <c r="D14" s="2"/>
      <c r="E14" s="2"/>
    </row>
    <row r="15" spans="1:5">
      <c r="A15" s="2"/>
      <c r="B15" s="2" t="s">
        <v>25</v>
      </c>
      <c r="C15" s="30" t="s">
        <v>0</v>
      </c>
      <c r="D15" s="2"/>
      <c r="E15" s="2"/>
    </row>
    <row r="16" spans="1:5">
      <c r="A16" s="2"/>
      <c r="B16" s="2" t="s">
        <v>26</v>
      </c>
      <c r="C16" s="30" t="s">
        <v>43</v>
      </c>
      <c r="D16" s="2"/>
      <c r="E16" s="2"/>
    </row>
    <row r="17" spans="1:5">
      <c r="A17" s="2"/>
      <c r="B17" s="2" t="s">
        <v>27</v>
      </c>
      <c r="C17" s="30" t="s">
        <v>44</v>
      </c>
      <c r="D17" s="2"/>
      <c r="E17" s="2"/>
    </row>
    <row r="18" spans="1:5">
      <c r="A18" s="2"/>
      <c r="B18" s="2" t="s">
        <v>45</v>
      </c>
      <c r="C18" s="30" t="s">
        <v>46</v>
      </c>
      <c r="D18" s="2"/>
      <c r="E18" s="2"/>
    </row>
    <row r="19" spans="1:5">
      <c r="A19" s="2"/>
      <c r="B19" s="2"/>
      <c r="C19" s="31"/>
      <c r="D19" s="2"/>
      <c r="E19" s="2"/>
    </row>
    <row r="20" spans="1:5">
      <c r="A20" s="2"/>
      <c r="B20" s="1" t="s">
        <v>47</v>
      </c>
      <c r="C20" s="31"/>
      <c r="D20" s="2"/>
      <c r="E20" s="2"/>
    </row>
    <row r="21" spans="1:5">
      <c r="A21" s="2"/>
      <c r="B21" s="2" t="s">
        <v>48</v>
      </c>
      <c r="C21" s="32">
        <v>30</v>
      </c>
      <c r="D21" s="2"/>
      <c r="E21" s="25" t="s">
        <v>49</v>
      </c>
    </row>
    <row r="22" spans="1:5">
      <c r="A22" s="2"/>
      <c r="B22" s="2" t="s">
        <v>50</v>
      </c>
      <c r="C22" s="33">
        <v>0.19</v>
      </c>
      <c r="D22" s="2"/>
      <c r="E22" s="25" t="s">
        <v>51</v>
      </c>
    </row>
    <row r="23" spans="1:5">
      <c r="A23" s="2"/>
      <c r="B23" s="2"/>
      <c r="C23" s="2"/>
      <c r="D23" s="2"/>
      <c r="E23" s="2"/>
    </row>
    <row r="24" spans="1:5">
      <c r="A24" s="2"/>
      <c r="B24" s="1" t="s">
        <v>52</v>
      </c>
      <c r="C24" s="25" t="s">
        <v>30</v>
      </c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5DAC-AC0C-1D46-AE7A-BB96D5D604B4}">
  <dimension ref="A2:B2"/>
  <sheetViews>
    <sheetView workbookViewId="0">
      <selection activeCell="B2" sqref="B2"/>
    </sheetView>
  </sheetViews>
  <sheetFormatPr defaultColWidth="11" defaultRowHeight="15.95"/>
  <cols>
    <col min="2" max="2" width="12.375" bestFit="1" customWidth="1"/>
  </cols>
  <sheetData>
    <row r="2" spans="1:2">
      <c r="A2" t="s">
        <v>53</v>
      </c>
      <c r="B2" s="35">
        <f ca="1">NOW()</f>
        <v>46305.999058912035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Normal="100" zoomScaleSheetLayoutView="100" workbookViewId="0"/>
  </sheetViews>
  <sheetFormatPr defaultRowHeight="15"/>
  <sheetData>
    <row r="1" spans="1:2">
      <c r="A1">
        <f ca="1">COUNTA(Invoice!A1:Z200)</f>
        <v>65</v>
      </c>
      <c r="B1" s="37">
        <v>1234.5</v>
      </c>
    </row>
    <row r="2" spans="1:2">
      <c r="A2" cm="1">
        <f t="array" ref="A2:A4">_xlfn.SEQUENCE(3)</f>
        <v>1</v>
      </c>
    </row>
    <row r="3" spans="1:2">
      <c r="A3">
        <v>2</v>
      </c>
    </row>
    <row r="4" spans="1:2">
      <c r="A4">
        <v>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González-Albo Campillo</dc:creator>
  <cp:keywords/>
  <dc:description/>
  <cp:lastModifiedBy/>
  <cp:revision/>
  <dcterms:created xsi:type="dcterms:W3CDTF">2026-07-21T12:54:03Z</dcterms:created>
  <dcterms:modified xsi:type="dcterms:W3CDTF">2026-10-10T20:58:56Z</dcterms:modified>
  <cp:category/>
  <cp:contentStatus/>
</cp:coreProperties>
</file>